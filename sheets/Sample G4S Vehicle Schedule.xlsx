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SS Dubai" sheetId="2" r:id="rId6"/>
    <sheet state="visible" name="MSS Abu Dhabi" sheetId="3" r:id="rId7"/>
    <sheet state="visible" name="MSS Sharjah" sheetId="4" r:id="rId8"/>
    <sheet state="visible" name="Geofence by vehicle" sheetId="5" r:id="rId9"/>
    <sheet state="visible" name="Geofence Directory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tc={77375fc3-7e07-4870-800d-423b5d84b6c4}</author>
    <author>tc={d331c196-3a4e-4804-892c-365e048a184d}</author>
  </authors>
  <commentList>
    <comment authorId="0" xr:uid="{77375fc3-7e07-4870-800d-423b5d84b6c4}" ref="A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@amr.rafat@swvl.com FYR
Assigned to amr.rafat@swvl.com
</t>
      </text>
    </comment>
    <comment authorId="1" xr:uid="{d331c196-3a4e-4804-892c-365e048a184d}" ref="A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@abdul.shami@swvl.com
Assigned to abdul.shami@swvl.com
</t>
      </text>
    </comment>
  </commentList>
</comments>
</file>

<file path=xl/sharedStrings.xml><?xml version="1.0" encoding="utf-8"?>
<sst xmlns="http://schemas.openxmlformats.org/spreadsheetml/2006/main" count="1322" uniqueCount="254">
  <si>
    <t>New Numbers</t>
  </si>
  <si>
    <t>Old Numbers</t>
  </si>
  <si>
    <t>Vehicle Type</t>
  </si>
  <si>
    <t>ERP</t>
  </si>
  <si>
    <t>Staff Name</t>
  </si>
  <si>
    <t>Designation</t>
  </si>
  <si>
    <t>Branch Name</t>
  </si>
  <si>
    <t>Division</t>
  </si>
  <si>
    <t>Dongfeng</t>
  </si>
  <si>
    <t>Abdul Rahman Bin Salam</t>
  </si>
  <si>
    <t>Driver-G4S</t>
  </si>
  <si>
    <t>Abu Dhabi</t>
  </si>
  <si>
    <t>Dubai</t>
  </si>
  <si>
    <t>Muhammad Yaseen Malang Jan</t>
  </si>
  <si>
    <t>MSS</t>
  </si>
  <si>
    <t>DRIVER NAME</t>
  </si>
  <si>
    <t>Subhan Ali Nowsherwan</t>
  </si>
  <si>
    <t>Sharjah</t>
  </si>
  <si>
    <t>Muhammad Akram / Zafar Ali</t>
  </si>
  <si>
    <t>MOB NO</t>
  </si>
  <si>
    <t>Vehicle Numbers</t>
  </si>
  <si>
    <t>51933 / 51729</t>
  </si>
  <si>
    <t>Muhammad Hamid / Wajahat Khan</t>
  </si>
  <si>
    <t>Type</t>
  </si>
  <si>
    <t>1st Trip (Round trip)</t>
  </si>
  <si>
    <t>2nd Trip (Round Trip)</t>
  </si>
  <si>
    <t>3th Trip (Round trip)</t>
  </si>
  <si>
    <t>4rth Trip (Round Trip)</t>
  </si>
  <si>
    <t>Company</t>
  </si>
  <si>
    <t>Please provide the information using the attached format.</t>
  </si>
  <si>
    <t>Emts</t>
  </si>
  <si>
    <t>2nd Trip (Round)</t>
  </si>
  <si>
    <t>From Location (A)</t>
  </si>
  <si>
    <t>Coordinates</t>
  </si>
  <si>
    <t>3rd Trip (Round trip)</t>
  </si>
  <si>
    <t>Number of employees</t>
  </si>
  <si>
    <t>To Location (B)</t>
  </si>
  <si>
    <t>G4S</t>
  </si>
  <si>
    <t>050 5227446</t>
  </si>
  <si>
    <t>4th Trip (Round trip)</t>
  </si>
  <si>
    <t xml:space="preserve">Magenta </t>
  </si>
  <si>
    <t>24.3305691,54.3884916,47586m</t>
  </si>
  <si>
    <t>5th Trip (Round trip)</t>
  </si>
  <si>
    <t>MARK A B CAPITAL INVESTMENT L.L.C</t>
  </si>
  <si>
    <t>6th Trip (Round trip)</t>
  </si>
  <si>
    <t>JUMIRAH SADIYAAT ISLAND RESORT</t>
  </si>
  <si>
    <t>0</t>
  </si>
  <si>
    <t>Al Quoz Accommodation</t>
  </si>
  <si>
    <t>Ladies Accommodation Dubai</t>
  </si>
  <si>
    <t xml:space="preserve">M.H. Alshaya H&amp;M MOE 
</t>
  </si>
  <si>
    <t>COYA RESTAURANT LIMITED</t>
  </si>
  <si>
    <t xml:space="preserve">Khazna DXB3 &amp; DXB8
</t>
  </si>
  <si>
    <t>Spinneys Moter City</t>
  </si>
  <si>
    <t>24.25985, 54.63216</t>
  </si>
  <si>
    <t>Zuma Restaurant</t>
  </si>
  <si>
    <t>CEVA Logistics</t>
  </si>
  <si>
    <t>Sharjah / RAK</t>
  </si>
  <si>
    <t>1</t>
  </si>
  <si>
    <t>Jumbo Electronics</t>
  </si>
  <si>
    <t>RAK Accomodation</t>
  </si>
  <si>
    <t>RICHMOND PETROBASE RMC FZE</t>
  </si>
  <si>
    <t>Rosewood Hotel</t>
  </si>
  <si>
    <t>Emirates Insurance Company-Abu Dhabi</t>
  </si>
  <si>
    <t>UTICO HAMARA PLANT</t>
  </si>
  <si>
    <t xml:space="preserve">ALQ - Ladies </t>
  </si>
  <si>
    <t>The Saudi National Bank - Al Mansoor Tower</t>
  </si>
  <si>
    <t>Khazna DXB3 &amp; DXB8
CEVA Logistics
M.H. Al Shaya W/H Technopark NIP</t>
  </si>
  <si>
    <t>MSSL</t>
  </si>
  <si>
    <t>ALQ Accommodation</t>
  </si>
  <si>
    <t>M.H. Alshaya H&amp;M MOE 
Spinneys Dubai LLC, Umm Squim
Spinneys Waitrose Motor City Mall
M.H. Alshaya PRIMARK MOE</t>
  </si>
  <si>
    <t>M.H. Al Shaya W/H Technopark NIP</t>
  </si>
  <si>
    <t>Ladies accommodation</t>
  </si>
  <si>
    <t xml:space="preserve">BOSKALIS WESTMINSTER </t>
  </si>
  <si>
    <t>UTICO Free Zone</t>
  </si>
  <si>
    <t>TRITON</t>
  </si>
  <si>
    <t>MSS Dubai</t>
  </si>
  <si>
    <t>2</t>
  </si>
  <si>
    <t>VAN OORD GULF FZE</t>
  </si>
  <si>
    <t>UTICO IWP</t>
  </si>
  <si>
    <t>INNOBIT</t>
  </si>
  <si>
    <t>Umm Squim</t>
  </si>
  <si>
    <t>AIR LIQUIDE MANUFACTURING RMC FZC(ALMEM-RMC-FZC)</t>
  </si>
  <si>
    <t>SAVER GLASS</t>
  </si>
  <si>
    <t>Total</t>
  </si>
  <si>
    <t>UTICO Khur Khair</t>
  </si>
  <si>
    <t>GUARDIAN GLASS</t>
  </si>
  <si>
    <t>Hours worked</t>
  </si>
  <si>
    <t>ELITE EXTRUSION LLC AL JAZEERA</t>
  </si>
  <si>
    <t>NASHAT METAL</t>
  </si>
  <si>
    <t>Total Hours</t>
  </si>
  <si>
    <t>7th Trip (Round trip)</t>
  </si>
  <si>
    <t>8th Trip (Round trip)</t>
  </si>
  <si>
    <t>526545080 / 562818736</t>
  </si>
  <si>
    <t>Herriot Watt University DMC 
American Hospital Dubai Science Park
Novomed 
SHAMAL, Sky Dive</t>
  </si>
  <si>
    <t xml:space="preserve">M.H. Alshaya H&amp;M Nakheel Mall
M.H. Al Shaya CPF Plant DIC 
Logix </t>
  </si>
  <si>
    <t>MH Alshaya VSFA,  Dubai Hills
MH Alshaya Ulta,  Dubai Hills
M.H. Alshaya PRIMARK MOEOE</t>
  </si>
  <si>
    <t>ALQ accommodation</t>
  </si>
  <si>
    <t>UAB Festival Plaza,</t>
  </si>
  <si>
    <t>ALQ accommodition</t>
  </si>
  <si>
    <t xml:space="preserve">M.H. Alshaya H&amp;M Nakheel Mall
</t>
  </si>
  <si>
    <t>Dubai Hills</t>
  </si>
  <si>
    <t>UAB Festival Plaza</t>
  </si>
  <si>
    <t>25.02930453733127, 55.10684447002581</t>
  </si>
  <si>
    <t>Herriot Watt University DMC</t>
  </si>
  <si>
    <t xml:space="preserve">M.H. Al Shaya CPF Plant DIC </t>
  </si>
  <si>
    <t>MOE</t>
  </si>
  <si>
    <t>Mall of Emirates</t>
  </si>
  <si>
    <t>American Hospital Dubai Science Park</t>
  </si>
  <si>
    <t>Logix Jafza</t>
  </si>
  <si>
    <t>25.159868449777708, 55.25152489408452</t>
  </si>
  <si>
    <t>Novomed</t>
  </si>
  <si>
    <t>SHAMAL, Sky Dive</t>
  </si>
  <si>
    <t>RAK Accommodation</t>
  </si>
  <si>
    <t>Richmount / Xyz</t>
  </si>
  <si>
    <t>UTICO</t>
  </si>
  <si>
    <t>innobit</t>
  </si>
  <si>
    <t>Sharjah / FUJ</t>
  </si>
  <si>
    <t>MSS SHJ</t>
  </si>
  <si>
    <t>9th Trip (Round trip)</t>
  </si>
  <si>
    <t>10th Trip (Round trip)</t>
  </si>
  <si>
    <t>11th Trip (Round trip)</t>
  </si>
  <si>
    <t>12th Trip (Round trip)</t>
  </si>
  <si>
    <t>Ajman Accomodation</t>
  </si>
  <si>
    <t>Unipex Factory</t>
  </si>
  <si>
    <t>International Packaging Company 1</t>
  </si>
  <si>
    <t>INVEST BANK AL ZAHIA</t>
  </si>
  <si>
    <t>Mega Mall</t>
  </si>
  <si>
    <t>NSI</t>
  </si>
  <si>
    <t>SHOMCO</t>
  </si>
  <si>
    <t>SIB MATJAR JURINA</t>
  </si>
  <si>
    <t>SOINNEYS 6 MALL</t>
  </si>
  <si>
    <t>Unipex Accommodation</t>
  </si>
  <si>
    <t>Gourmet Foods LLC</t>
  </si>
  <si>
    <t>GOLD PRO</t>
  </si>
  <si>
    <t>Gift market Al wahda</t>
  </si>
  <si>
    <t>SIB RAHMANIYA</t>
  </si>
  <si>
    <t>Iffco S &amp; D Ware House BMW</t>
  </si>
  <si>
    <t>GLOBAL PIONEER</t>
  </si>
  <si>
    <t>REGAL INTERNATIONAL</t>
  </si>
  <si>
    <t>SIB Mega Mall</t>
  </si>
  <si>
    <t>Iffco S &amp; D Ware House NEW</t>
  </si>
  <si>
    <t>MEDPHARMA</t>
  </si>
  <si>
    <t>WORLD AUTO INTERNATIONAL FZE</t>
  </si>
  <si>
    <t>SIB Matjar Mirgab</t>
  </si>
  <si>
    <t>Ajman Accommodation</t>
  </si>
  <si>
    <t>IFCO BMW</t>
  </si>
  <si>
    <t>SIB Mohela</t>
  </si>
  <si>
    <t>LEADERS SCHOOL</t>
  </si>
  <si>
    <t xml:space="preserve">SIB Muweileh </t>
  </si>
  <si>
    <t>Falcon</t>
  </si>
  <si>
    <t>ARYAMOND INTERNATIONAL FZE</t>
  </si>
  <si>
    <t>Invest Bank Al Zaya</t>
  </si>
  <si>
    <t>Ajman Accommodation / LDS acc</t>
  </si>
  <si>
    <t>Shomco</t>
  </si>
  <si>
    <t>IFFCO BMW</t>
  </si>
  <si>
    <t xml:space="preserve">Marifa School </t>
  </si>
  <si>
    <t>SIB SAIF ZONE</t>
  </si>
  <si>
    <t>MSSL NEW WH</t>
  </si>
  <si>
    <t>Spinneys</t>
  </si>
  <si>
    <t xml:space="preserve">Ajman Accommodation </t>
  </si>
  <si>
    <t>NAMOH GOLD</t>
  </si>
  <si>
    <t>RASHIDEEN INTERNATIONAL</t>
  </si>
  <si>
    <t>Site Name</t>
  </si>
  <si>
    <t>Falcon Gold refinery</t>
  </si>
  <si>
    <t>PPM CHAINS</t>
  </si>
  <si>
    <t>25.289493693881575, 55.40302525474182</t>
  </si>
  <si>
    <t>Khazna DXB3 &amp; DXB8</t>
  </si>
  <si>
    <t>25.029650, 55.120267</t>
  </si>
  <si>
    <t>24.975505826938836, 55.12594870273566</t>
  </si>
  <si>
    <t>24.92337151067065, 55.023564263077084</t>
  </si>
  <si>
    <t xml:space="preserve">M.H. Alshaya H&amp;M MOE </t>
  </si>
  <si>
    <t>25.118364282895183, 55.19881483242517</t>
  </si>
  <si>
    <t>25.16866525473592, 55.22852681451915</t>
  </si>
  <si>
    <t>25.04619103719699, 55.24239582697633</t>
  </si>
  <si>
    <t>25.10238758257158, 55.16177320424629</t>
  </si>
  <si>
    <t>25.075796747999856, 55.24613118280284</t>
  </si>
  <si>
    <t>25.075576654435693, 55.14036833862833</t>
  </si>
  <si>
    <t>25.086736425718833, 55.14177691910087</t>
  </si>
  <si>
    <t>M.H. Alshaya H&amp;M Nakheel Mall</t>
  </si>
  <si>
    <t>25.1142972035937, 55.13980586702079</t>
  </si>
  <si>
    <t>M.H. Al Shaya CPF Plant DIC</t>
  </si>
  <si>
    <t>24.86393811540979, 55.060689773577</t>
  </si>
  <si>
    <t>24.94367061690238, 55.078166812400376</t>
  </si>
  <si>
    <t>9 : 00 AM</t>
  </si>
  <si>
    <t>25.10189774716678, 55.23991611915576</t>
  </si>
  <si>
    <t>24.49583299784158, 54.38041035351228</t>
  </si>
  <si>
    <t>24.502549, 54.388042</t>
  </si>
  <si>
    <t>24.500584251470006, 54.387831293188555</t>
  </si>
  <si>
    <t>24.50026034333752, 54.3907430918511</t>
  </si>
  <si>
    <t>24.50152, 54.39083</t>
  </si>
  <si>
    <t>24.495442756427444, 54.38080932330034</t>
  </si>
  <si>
    <t>24.493161127289483, 54.37655720488734</t>
  </si>
  <si>
    <t>050-9393096</t>
  </si>
  <si>
    <t>AUH</t>
  </si>
  <si>
    <t>Meganta - KC Ladies</t>
  </si>
  <si>
    <t>Jumerah Sadyaat</t>
  </si>
  <si>
    <t>24.49974, 54.38758</t>
  </si>
  <si>
    <t xml:space="preserve">Meganta </t>
  </si>
  <si>
    <t xml:space="preserve">Rosewood </t>
  </si>
  <si>
    <t>MSS Abu Dhabi</t>
  </si>
  <si>
    <t>25.7201467,55.9821147</t>
  </si>
  <si>
    <t>25.945467, 56.054884</t>
  </si>
  <si>
    <t>25.952277, 56.052987</t>
  </si>
  <si>
    <t>25.954563, 56.052856</t>
  </si>
  <si>
    <t>25.950180, 56.064228</t>
  </si>
  <si>
    <t>25.985155, 56.066395</t>
  </si>
  <si>
    <t>25.703145060465296, 55.79336557463233</t>
  </si>
  <si>
    <t>25.6836714223058, 55.79316436209816</t>
  </si>
  <si>
    <t>25.70513938738504, 55.788375483196205</t>
  </si>
  <si>
    <t>25.672279, 55.784075</t>
  </si>
  <si>
    <t>25.662892, 55.804279</t>
  </si>
  <si>
    <t>25.655704109999984, 55.78137985907373</t>
  </si>
  <si>
    <t>25.652734572768082, 55.77938328497803</t>
  </si>
  <si>
    <t>25.689099, 55.804707</t>
  </si>
  <si>
    <t>25.543520948606503, 55.69611152560193</t>
  </si>
  <si>
    <t>in beween additional work is given</t>
  </si>
  <si>
    <t>25.542381638623944, 55.65848144554767</t>
  </si>
  <si>
    <t>25.389453223470476, 55.49227338606957</t>
  </si>
  <si>
    <t>25.314278484837367, 55.4038172882809</t>
  </si>
  <si>
    <t>25.312902, 55.402513</t>
  </si>
  <si>
    <t>25.325875, 55.402484</t>
  </si>
  <si>
    <t>25.307035, 55.399827</t>
  </si>
  <si>
    <t>25.377394, 55.446324</t>
  </si>
  <si>
    <t>25.348904, 55.401005</t>
  </si>
  <si>
    <t>25.378464, 55.479934</t>
  </si>
  <si>
    <t>25.398303, 55.496417</t>
  </si>
  <si>
    <t>25.374295, 55.470619</t>
  </si>
  <si>
    <t>25.311719, 55.443965</t>
  </si>
  <si>
    <t>25.309378873898122, 55.46179626110424</t>
  </si>
  <si>
    <t>25.325533, 55.495659</t>
  </si>
  <si>
    <t>25.332196, 55.487713</t>
  </si>
  <si>
    <t>25.344253, 55.484011</t>
  </si>
  <si>
    <t>25.327664, 55.500540</t>
  </si>
  <si>
    <t>25.342423, 55.489325</t>
  </si>
  <si>
    <t>25.323524, 55.502720</t>
  </si>
  <si>
    <t>25.325684, 55.504380</t>
  </si>
  <si>
    <t>25.345321, 55.500214</t>
  </si>
  <si>
    <t>25.335734, 55.483110</t>
  </si>
  <si>
    <t>25.345411, 55.501350</t>
  </si>
  <si>
    <t>25.331232, 55.476863</t>
  </si>
  <si>
    <t>25.315452961047022, 55.45446408848867</t>
  </si>
  <si>
    <t>25.323522316621478, 55.39197221468791</t>
  </si>
  <si>
    <t>25.344821117171563, 55.398563256803506</t>
  </si>
  <si>
    <t>25.420796265382116, 55.55195451889896</t>
  </si>
  <si>
    <t>25.459438, 55.477605</t>
  </si>
  <si>
    <t>25.29622172610193, 55.48909815926142</t>
  </si>
  <si>
    <t>25.330179817486137, 55.60038306084142</t>
  </si>
  <si>
    <t>25.38868342675225, 55.421364864699626</t>
  </si>
  <si>
    <t>SPINNEYS 6 MALL</t>
  </si>
  <si>
    <t>25.29062619129165, 55.49692625512035</t>
  </si>
  <si>
    <t>Tyre change workshop</t>
  </si>
  <si>
    <t>24°58'23.4"N 55°11'21.4"E</t>
  </si>
  <si>
    <t>Al Ghazal Workshop - Abu Dhabi</t>
  </si>
  <si>
    <t>24.353374, 54.485541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</si>
</sst>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&quot;:&quot;mm"/>
    <numFmt numFmtId="165" formatCode="h&quot;:&quot;mm&quot; &quot;AM/PM"/>
    <numFmt numFmtId="166" formatCode="[h]:mm"/>
    <numFmt numFmtId="167" formatCode="h:mm am/pm"/>
  </numFmts>
  <fonts count="18">
    <font>
      <sz val="11.0"/>
      <color theme="1"/>
      <name val="Calibri"/>
      <scheme val="minor"/>
    </font>
    <font>
      <b/>
      <sz val="12.0"/>
      <color rgb="FFFFFFFF"/>
      <name val="Calibri"/>
    </font>
    <font>
      <b/>
      <sz val="11.0"/>
      <color rgb="FF0066CC"/>
      <name val="Calibri"/>
    </font>
    <font>
      <sz val="11.0"/>
      <color rgb="FF222222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color rgb="FF222222"/>
      <name val="Arial"/>
    </font>
    <font>
      <sz val="11.0"/>
      <color rgb="FF000000"/>
      <name val="Calibri"/>
    </font>
    <font>
      <color theme="1"/>
      <name val="Arial"/>
    </font>
    <font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sz val="12.0"/>
      <color theme="1"/>
      <name val="Calibri"/>
    </font>
    <font>
      <sz val="11.0"/>
      <color theme="1"/>
      <name val="Google Sans"/>
    </font>
    <font>
      <sz val="11.0"/>
      <color rgb="FF202124"/>
      <name val="Calibri"/>
    </font>
    <font>
      <sz val="11.0"/>
      <color rgb="FF1F1F1F"/>
      <name val="Calibri"/>
    </font>
    <font>
      <b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</fills>
  <borders count="35">
    <border/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vertical="bottom"/>
    </xf>
    <xf borderId="4" fillId="2" fontId="1" numFmtId="0" xfId="0" applyAlignment="1" applyBorder="1" applyFill="1" applyFont="1">
      <alignment vertical="bottom"/>
    </xf>
    <xf borderId="5" fillId="3" fontId="2" numFmtId="0" xfId="0" applyAlignment="1" applyBorder="1" applyFill="1" applyFont="1">
      <alignment horizontal="center" vertical="bottom"/>
    </xf>
    <xf borderId="6" fillId="3" fontId="2" numFmtId="0" xfId="0" applyAlignment="1" applyBorder="1" applyFill="1" applyFont="1">
      <alignment horizontal="center" vertical="bottom"/>
    </xf>
    <xf borderId="7" fillId="3" fontId="2" numFmtId="0" xfId="0" applyAlignment="1" applyBorder="1" applyFill="1" applyFont="1">
      <alignment horizontal="center" vertical="bottom"/>
    </xf>
    <xf borderId="6" fillId="3" fontId="3" numFmtId="0" xfId="0" applyAlignment="1" applyBorder="1" applyFill="1" applyFont="1">
      <alignment horizontal="center" vertical="bottom"/>
    </xf>
    <xf borderId="8" fillId="3" fontId="2" numFmtId="0" xfId="0" applyAlignment="1" applyBorder="1" applyFill="1" applyFont="1">
      <alignment horizontal="center" vertical="bottom"/>
    </xf>
    <xf borderId="6" fillId="3" fontId="3" numFmtId="0" xfId="0" applyAlignment="1" applyBorder="1" applyFill="1" applyFont="1">
      <alignment vertical="bottom"/>
    </xf>
    <xf borderId="8" fillId="3" fontId="3" numFmtId="0" xfId="0" applyAlignment="1" applyBorder="1" applyFill="1" applyFont="1">
      <alignment horizontal="center" vertical="bottom"/>
    </xf>
    <xf borderId="8" fillId="3" fontId="3" numFmtId="0" xfId="0" applyAlignment="1" applyBorder="1" applyFill="1" applyFont="1">
      <alignment vertical="bottom"/>
    </xf>
    <xf borderId="0" fillId="0" fontId="4" numFmtId="0" xfId="0" applyAlignment="1" applyFont="1">
      <alignment horizontal="center"/>
    </xf>
    <xf borderId="9" fillId="0" fontId="5" numFmtId="0" xfId="0" applyAlignment="1" applyBorder="1" applyFont="1">
      <alignment horizontal="center" shrinkToFit="0" wrapText="1"/>
    </xf>
    <xf borderId="10" fillId="0" fontId="5" numFmtId="1" xfId="0" applyAlignment="1" applyBorder="1" applyFont="1" applyNumberFormat="1">
      <alignment horizontal="center" shrinkToFit="0" wrapText="1"/>
    </xf>
    <xf borderId="12" fillId="0" fontId="5" numFmtId="1" xfId="0" applyAlignment="1" applyBorder="1" applyFont="1" applyNumberFormat="1">
      <alignment horizontal="center" shrinkToFit="0" wrapText="1"/>
    </xf>
    <xf borderId="11" fillId="0" fontId="3" numFmtId="0" xfId="0" applyAlignment="1" applyBorder="1" applyFont="1">
      <alignment vertical="bottom"/>
    </xf>
    <xf borderId="12" fillId="0" fontId="5" numFmtId="0" xfId="0" applyAlignment="1" applyBorder="1" applyFont="1">
      <alignment horizontal="center" shrinkToFit="0" wrapText="1"/>
    </xf>
    <xf borderId="10" fillId="0" fontId="5" numFmtId="0" xfId="0" applyAlignment="1" applyBorder="1" applyFont="1">
      <alignment horizontal="center" shrinkToFit="0" wrapText="1"/>
    </xf>
    <xf borderId="13" fillId="0" fontId="5" numFmtId="0" xfId="0" applyAlignment="1" applyBorder="1" applyFont="1">
      <alignment horizontal="center" shrinkToFit="0" wrapText="1"/>
    </xf>
    <xf borderId="14" fillId="0" fontId="5" numFmtId="164" xfId="0" applyAlignment="1" applyBorder="1" applyFont="1" applyNumberFormat="1">
      <alignment horizontal="center" shrinkToFit="0" wrapText="1"/>
    </xf>
    <xf borderId="16" fillId="0" fontId="6" numFmtId="0" xfId="0" applyBorder="1" applyFont="1"/>
    <xf borderId="15" fillId="0" fontId="5" numFmtId="0" xfId="0" applyAlignment="1" applyBorder="1" applyFont="1">
      <alignment horizontal="center" shrinkToFit="0" wrapText="1"/>
    </xf>
    <xf borderId="17" fillId="0" fontId="6" numFmtId="0" xfId="0" applyBorder="1" applyFont="1"/>
    <xf borderId="11" fillId="0" fontId="5" numFmtId="1" xfId="0" applyAlignment="1" applyBorder="1" applyFont="1" applyNumberFormat="1">
      <alignment horizontal="center" shrinkToFit="0" wrapText="1"/>
    </xf>
    <xf borderId="14" fillId="0" fontId="5" numFmtId="0" xfId="0" applyAlignment="1" applyBorder="1" applyFont="1">
      <alignment horizontal="center" readingOrder="0" shrinkToFit="0" wrapText="1"/>
    </xf>
    <xf borderId="15" fillId="0" fontId="5" numFmtId="1" xfId="0" applyAlignment="1" applyBorder="1" applyFont="1" applyNumberFormat="1">
      <alignment horizontal="center" shrinkToFit="0" wrapText="1"/>
    </xf>
    <xf borderId="14" fillId="0" fontId="5" numFmtId="0" xfId="0" applyAlignment="1" applyBorder="1" applyFont="1">
      <alignment horizontal="center" shrinkToFit="0" wrapText="1"/>
    </xf>
    <xf borderId="11" fillId="0" fontId="5" numFmtId="0" xfId="0" applyAlignment="1" applyBorder="1" applyFont="1">
      <alignment horizontal="center" shrinkToFit="0" wrapText="1"/>
    </xf>
    <xf borderId="0" fillId="3" fontId="7" numFmtId="0" xfId="0" applyFill="1" applyFont="1"/>
    <xf borderId="18" fillId="0" fontId="6" numFmtId="0" xfId="0" applyBorder="1" applyFont="1"/>
    <xf borderId="11" fillId="0" fontId="5" numFmtId="1" xfId="0" applyAlignment="1" applyBorder="1" applyFont="1" applyNumberFormat="1">
      <alignment horizontal="center" shrinkToFit="0" vertical="center" wrapText="1"/>
    </xf>
    <xf borderId="19" fillId="0" fontId="5" numFmtId="164" xfId="0" applyAlignment="1" applyBorder="1" applyFont="1" applyNumberFormat="1">
      <alignment horizontal="center" shrinkToFit="0" wrapText="1"/>
    </xf>
    <xf borderId="5" fillId="0" fontId="6" numFmtId="0" xfId="0" applyBorder="1" applyFont="1"/>
    <xf borderId="20" fillId="0" fontId="6" numFmtId="0" xfId="0" applyBorder="1" applyFont="1"/>
    <xf borderId="4" fillId="0" fontId="6" numFmtId="0" xfId="0" applyBorder="1" applyFont="1"/>
    <xf borderId="11" fillId="0" fontId="5" numFmtId="0" xfId="0" applyAlignment="1" applyBorder="1" applyFont="1">
      <alignment horizontal="center" shrinkToFit="0" vertical="center" wrapText="1"/>
    </xf>
    <xf borderId="21" fillId="0" fontId="6" numFmtId="0" xfId="0" applyBorder="1" applyFont="1"/>
    <xf borderId="18" fillId="0" fontId="5" numFmtId="164" xfId="0" applyAlignment="1" applyBorder="1" applyFont="1" applyNumberFormat="1">
      <alignment horizontal="center" shrinkToFit="0" vertical="center" wrapText="1"/>
    </xf>
    <xf borderId="22" fillId="0" fontId="5" numFmtId="0" xfId="0" applyAlignment="1" applyBorder="1" applyFont="1">
      <alignment horizontal="center" shrinkToFit="0" wrapText="1"/>
    </xf>
    <xf borderId="5" fillId="0" fontId="5" numFmtId="0" xfId="0" applyAlignment="1" applyBorder="1" applyFont="1">
      <alignment horizontal="center" shrinkToFit="0" vertical="center" wrapText="1"/>
    </xf>
    <xf borderId="23" fillId="0" fontId="5" numFmtId="164" xfId="0" applyAlignment="1" applyBorder="1" applyFont="1" applyNumberFormat="1">
      <alignment horizontal="center" shrinkToFit="0" vertical="center" wrapText="1"/>
    </xf>
    <xf borderId="19" fillId="0" fontId="5" numFmtId="0" xfId="0" applyAlignment="1" applyBorder="1" applyFont="1">
      <alignment horizontal="center" shrinkToFit="0" wrapText="1"/>
    </xf>
    <xf borderId="5" fillId="0" fontId="5" numFmtId="164" xfId="0" applyAlignment="1" applyBorder="1" applyFont="1" applyNumberFormat="1">
      <alignment horizontal="center" shrinkToFit="0" vertical="center" wrapText="1"/>
    </xf>
    <xf borderId="6" fillId="0" fontId="5" numFmtId="164" xfId="0" applyAlignment="1" applyBorder="1" applyFont="1" applyNumberFormat="1">
      <alignment horizontal="center" shrinkToFit="0" vertical="center" wrapText="1"/>
    </xf>
    <xf borderId="24" fillId="0" fontId="3" numFmtId="0" xfId="0" applyAlignment="1" applyBorder="1" applyFont="1">
      <alignment vertical="bottom"/>
    </xf>
    <xf borderId="20" fillId="0" fontId="5" numFmtId="0" xfId="0" applyAlignment="1" applyBorder="1" applyFont="1">
      <alignment horizontal="center" shrinkToFit="0" wrapText="1"/>
    </xf>
    <xf borderId="11" fillId="0" fontId="5" numFmtId="164" xfId="0" applyAlignment="1" applyBorder="1" applyFont="1" applyNumberFormat="1">
      <alignment horizontal="center" shrinkToFit="0" vertical="center" wrapText="1"/>
    </xf>
    <xf borderId="11" fillId="0" fontId="4" numFmtId="1" xfId="0" applyAlignment="1" applyBorder="1" applyFont="1" applyNumberFormat="1">
      <alignment horizontal="left"/>
    </xf>
    <xf borderId="11" fillId="0" fontId="4" numFmtId="1" xfId="0" applyAlignment="1" applyBorder="1" applyFont="1" applyNumberFormat="1">
      <alignment horizontal="center"/>
    </xf>
    <xf borderId="11" fillId="0" fontId="2" numFmtId="0" xfId="0" applyAlignment="1" applyBorder="1" applyFont="1">
      <alignment horizontal="center" vertical="bottom"/>
    </xf>
    <xf borderId="11" fillId="0" fontId="4" numFmtId="0" xfId="0" applyAlignment="1" applyBorder="1" applyFont="1">
      <alignment horizontal="center"/>
    </xf>
    <xf borderId="5" fillId="0" fontId="5" numFmtId="1" xfId="0" applyAlignment="1" applyBorder="1" applyFont="1" applyNumberFormat="1">
      <alignment horizontal="center" shrinkToFit="0" vertical="center" wrapText="1"/>
    </xf>
    <xf borderId="25" fillId="0" fontId="8" numFmtId="18" xfId="0" applyAlignment="1" applyBorder="1" applyFont="1" applyNumberFormat="1">
      <alignment horizontal="left"/>
    </xf>
    <xf borderId="24" fillId="0" fontId="4" numFmtId="0" xfId="0" applyAlignment="1" applyBorder="1" applyFont="1">
      <alignment horizontal="left"/>
    </xf>
    <xf borderId="11" fillId="0" fontId="4" numFmtId="0" xfId="0" applyAlignment="1" applyBorder="1" applyFont="1">
      <alignment horizontal="left"/>
    </xf>
    <xf borderId="25" fillId="0" fontId="4" numFmtId="0" xfId="0" applyAlignment="1" applyBorder="1" applyFont="1">
      <alignment horizontal="center"/>
    </xf>
    <xf borderId="11" fillId="0" fontId="4" numFmtId="49" xfId="0" applyAlignment="1" applyBorder="1" applyFont="1" applyNumberFormat="1">
      <alignment horizontal="left"/>
    </xf>
    <xf borderId="6" fillId="0" fontId="9" numFmtId="0" xfId="0" applyAlignment="1" applyBorder="1" applyFont="1">
      <alignment vertical="bottom"/>
    </xf>
    <xf borderId="11" fillId="0" fontId="8" numFmtId="18" xfId="0" applyAlignment="1" applyBorder="1" applyFont="1" applyNumberFormat="1">
      <alignment horizontal="left"/>
    </xf>
    <xf borderId="25" fillId="0" fontId="4" numFmtId="49" xfId="0" applyAlignment="1" applyBorder="1" applyFont="1" applyNumberFormat="1">
      <alignment horizontal="center"/>
    </xf>
    <xf borderId="5" fillId="0" fontId="5" numFmtId="164" xfId="0" applyAlignment="1" applyBorder="1" applyFont="1" applyNumberFormat="1">
      <alignment horizontal="center" shrinkToFit="0" wrapText="1"/>
    </xf>
    <xf borderId="24" fillId="0" fontId="10" numFmtId="0" xfId="0" applyBorder="1" applyFont="1"/>
    <xf borderId="25" fillId="4" fontId="4" numFmtId="0" xfId="0" applyAlignment="1" applyBorder="1" applyFill="1" applyFont="1">
      <alignment horizontal="center"/>
    </xf>
    <xf borderId="11" fillId="0" fontId="10" numFmtId="0" xfId="0" applyBorder="1" applyFont="1"/>
    <xf borderId="5" fillId="0" fontId="3" numFmtId="0" xfId="0" applyAlignment="1" applyBorder="1" applyFont="1">
      <alignment vertical="bottom"/>
    </xf>
    <xf borderId="4" fillId="0" fontId="4" numFmtId="0" xfId="0" applyAlignment="1" applyBorder="1" applyFont="1">
      <alignment horizontal="left"/>
    </xf>
    <xf borderId="5" fillId="0" fontId="4" numFmtId="1" xfId="0" applyAlignment="1" applyBorder="1" applyFont="1" applyNumberFormat="1">
      <alignment horizontal="left"/>
    </xf>
    <xf borderId="11" fillId="0" fontId="10" numFmtId="49" xfId="0" applyBorder="1" applyFont="1" applyNumberFormat="1"/>
    <xf borderId="5" fillId="0" fontId="4" numFmtId="1" xfId="0" applyAlignment="1" applyBorder="1" applyFont="1" applyNumberFormat="1">
      <alignment horizontal="center"/>
    </xf>
    <xf borderId="24" fillId="0" fontId="4" numFmtId="49" xfId="0" applyAlignment="1" applyBorder="1" applyFont="1" applyNumberFormat="1">
      <alignment horizontal="left"/>
    </xf>
    <xf borderId="5" fillId="0" fontId="2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/>
    </xf>
    <xf borderId="4" fillId="0" fontId="10" numFmtId="0" xfId="0" applyBorder="1" applyFont="1"/>
    <xf borderId="5" fillId="0" fontId="8" numFmtId="18" xfId="0" applyAlignment="1" applyBorder="1" applyFont="1" applyNumberFormat="1">
      <alignment horizontal="left"/>
    </xf>
    <xf borderId="25" fillId="0" fontId="10" numFmtId="49" xfId="0" applyAlignment="1" applyBorder="1" applyFont="1" applyNumberFormat="1">
      <alignment horizontal="center"/>
    </xf>
    <xf borderId="11" fillId="0" fontId="11" numFmtId="0" xfId="0" applyAlignment="1" applyBorder="1" applyFont="1">
      <alignment vertical="bottom"/>
    </xf>
    <xf borderId="11" fillId="0" fontId="12" numFmtId="0" xfId="0" applyAlignment="1" applyBorder="1" applyFont="1">
      <alignment horizontal="center" vertical="bottom"/>
    </xf>
    <xf borderId="11" fillId="0" fontId="4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11" fillId="0" fontId="8" numFmtId="0" xfId="0" applyAlignment="1" applyBorder="1" applyFont="1">
      <alignment horizontal="left"/>
    </xf>
    <xf borderId="11" fillId="4" fontId="4" numFmtId="0" xfId="0" applyAlignment="1" applyBorder="1" applyFill="1" applyFont="1">
      <alignment horizontal="center"/>
    </xf>
    <xf borderId="11" fillId="0" fontId="4" numFmtId="0" xfId="0" applyAlignment="1" applyBorder="1" applyFont="1">
      <alignment horizontal="center" vertical="bottom"/>
    </xf>
    <xf borderId="11" fillId="0" fontId="10" numFmtId="0" xfId="0" applyAlignment="1" applyBorder="1" applyFont="1">
      <alignment horizontal="center"/>
    </xf>
    <xf borderId="4" fillId="0" fontId="4" numFmtId="49" xfId="0" applyAlignment="1" applyBorder="1" applyFont="1" applyNumberFormat="1">
      <alignment horizontal="left"/>
    </xf>
    <xf borderId="0" fillId="0" fontId="4" numFmtId="0" xfId="0" applyAlignment="1" applyFont="1">
      <alignment horizontal="left"/>
    </xf>
    <xf borderId="0" fillId="0" fontId="4" numFmtId="1" xfId="0" applyAlignment="1" applyFont="1" applyNumberFormat="1">
      <alignment horizontal="left"/>
    </xf>
    <xf borderId="26" fillId="0" fontId="3" numFmtId="0" xfId="0" applyAlignment="1" applyBorder="1" applyFont="1">
      <alignment vertical="bottom"/>
    </xf>
    <xf borderId="11" fillId="5" fontId="11" numFmtId="165" xfId="0" applyAlignment="1" applyBorder="1" applyFill="1" applyFont="1" applyNumberFormat="1">
      <alignment horizontal="center"/>
    </xf>
    <xf borderId="11" fillId="0" fontId="12" numFmtId="0" xfId="0" applyAlignment="1" applyBorder="1" applyFont="1">
      <alignment horizontal="center" shrinkToFit="0" vertical="bottom" wrapText="1"/>
    </xf>
    <xf borderId="15" fillId="0" fontId="4" numFmtId="1" xfId="0" applyAlignment="1" applyBorder="1" applyFont="1" applyNumberFormat="1">
      <alignment horizontal="left"/>
    </xf>
    <xf borderId="11" fillId="5" fontId="11" numFmtId="18" xfId="0" applyAlignment="1" applyBorder="1" applyFill="1" applyFont="1" applyNumberFormat="1">
      <alignment horizontal="center"/>
    </xf>
    <xf borderId="15" fillId="0" fontId="4" numFmtId="1" xfId="0" applyAlignment="1" applyBorder="1" applyFont="1" applyNumberFormat="1">
      <alignment horizontal="center"/>
    </xf>
    <xf borderId="15" fillId="0" fontId="2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center"/>
    </xf>
    <xf borderId="15" fillId="0" fontId="4" numFmtId="0" xfId="0" applyAlignment="1" applyBorder="1" applyFont="1">
      <alignment horizontal="center"/>
    </xf>
    <xf borderId="27" fillId="0" fontId="8" numFmtId="18" xfId="0" applyAlignment="1" applyBorder="1" applyFont="1" applyNumberFormat="1">
      <alignment horizontal="left"/>
    </xf>
    <xf borderId="0" fillId="0" fontId="4" numFmtId="0" xfId="0" applyFont="1"/>
    <xf borderId="26" fillId="0" fontId="4" numFmtId="0" xfId="0" applyAlignment="1" applyBorder="1" applyFont="1">
      <alignment horizontal="left"/>
    </xf>
    <xf borderId="15" fillId="0" fontId="4" numFmtId="0" xfId="0" applyAlignment="1" applyBorder="1" applyFont="1">
      <alignment horizontal="left"/>
    </xf>
    <xf borderId="27" fillId="0" fontId="4" numFmtId="0" xfId="0" applyAlignment="1" applyBorder="1" applyFont="1">
      <alignment horizontal="center"/>
    </xf>
    <xf borderId="27" fillId="4" fontId="4" numFmtId="0" xfId="0" applyAlignment="1" applyBorder="1" applyFill="1" applyFont="1">
      <alignment horizontal="center"/>
    </xf>
    <xf borderId="0" fillId="0" fontId="4" numFmtId="166" xfId="0" applyFont="1" applyNumberFormat="1"/>
    <xf borderId="28" fillId="0" fontId="4" numFmtId="0" xfId="0" applyAlignment="1" applyBorder="1" applyFont="1">
      <alignment horizontal="left"/>
    </xf>
    <xf borderId="8" fillId="0" fontId="9" numFmtId="0" xfId="0" applyAlignment="1" applyBorder="1" applyFont="1">
      <alignment vertical="bottom"/>
    </xf>
    <xf borderId="27" fillId="4" fontId="4" numFmtId="49" xfId="0" applyAlignment="1" applyBorder="1" applyFill="1" applyFont="1" applyNumberFormat="1">
      <alignment horizontal="center"/>
    </xf>
    <xf borderId="29" fillId="0" fontId="3" numFmtId="0" xfId="0" applyAlignment="1" applyBorder="1" applyFont="1">
      <alignment vertical="bottom"/>
    </xf>
    <xf borderId="30" fillId="0" fontId="4" numFmtId="1" xfId="0" applyAlignment="1" applyBorder="1" applyFont="1" applyNumberFormat="1">
      <alignment horizontal="left"/>
    </xf>
    <xf borderId="30" fillId="0" fontId="4" numFmtId="1" xfId="0" applyAlignment="1" applyBorder="1" applyFont="1" applyNumberFormat="1">
      <alignment horizontal="center"/>
    </xf>
    <xf borderId="30" fillId="0" fontId="2" numFmtId="0" xfId="0" applyAlignment="1" applyBorder="1" applyFont="1">
      <alignment horizontal="center" vertical="bottom"/>
    </xf>
    <xf borderId="30" fillId="0" fontId="4" numFmtId="0" xfId="0" applyAlignment="1" applyBorder="1" applyFont="1">
      <alignment horizontal="center"/>
    </xf>
    <xf borderId="31" fillId="0" fontId="8" numFmtId="18" xfId="0" applyAlignment="1" applyBorder="1" applyFont="1" applyNumberFormat="1">
      <alignment horizontal="left"/>
    </xf>
    <xf borderId="29" fillId="0" fontId="4" numFmtId="0" xfId="0" applyAlignment="1" applyBorder="1" applyFont="1">
      <alignment horizontal="left"/>
    </xf>
    <xf borderId="30" fillId="0" fontId="4" numFmtId="0" xfId="0" applyAlignment="1" applyBorder="1" applyFont="1">
      <alignment horizontal="left"/>
    </xf>
    <xf borderId="31" fillId="0" fontId="4" numFmtId="0" xfId="0" applyAlignment="1" applyBorder="1" applyFont="1">
      <alignment horizontal="center"/>
    </xf>
    <xf borderId="32" fillId="0" fontId="4" numFmtId="0" xfId="0" applyAlignment="1" applyBorder="1" applyFont="1">
      <alignment horizontal="left"/>
    </xf>
    <xf borderId="30" fillId="0" fontId="9" numFmtId="0" xfId="0" applyAlignment="1" applyBorder="1" applyFont="1">
      <alignment vertical="bottom"/>
    </xf>
    <xf borderId="11" fillId="0" fontId="5" numFmtId="0" xfId="0" applyAlignment="1" applyBorder="1" applyFont="1">
      <alignment horizontal="center" vertical="bottom"/>
    </xf>
    <xf borderId="0" fillId="4" fontId="4" numFmtId="166" xfId="0" applyAlignment="1" applyFill="1" applyFont="1" applyNumberFormat="1">
      <alignment horizontal="center" vertical="center"/>
    </xf>
    <xf borderId="0" fillId="4" fontId="4" numFmtId="166" xfId="0" applyAlignment="1" applyFill="1" applyFont="1" applyNumberFormat="1">
      <alignment horizontal="center"/>
    </xf>
    <xf borderId="0" fillId="0" fontId="3" numFmtId="0" xfId="0" applyAlignment="1" applyFont="1">
      <alignment vertical="bottom"/>
    </xf>
    <xf borderId="0" fillId="0" fontId="4" numFmtId="1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0" fontId="8" numFmtId="18" xfId="0" applyAlignment="1" applyFont="1" applyNumberFormat="1">
      <alignment horizontal="left"/>
    </xf>
    <xf borderId="0" fillId="4" fontId="10" numFmtId="0" xfId="0" applyAlignment="1" applyFill="1" applyFont="1">
      <alignment horizontal="center"/>
    </xf>
    <xf borderId="0" fillId="0" fontId="4" numFmtId="0" xfId="0" applyAlignment="1" applyFont="1">
      <alignment vertical="bottom"/>
    </xf>
    <xf borderId="15" fillId="0" fontId="5" numFmtId="0" xfId="0" applyAlignment="1" applyBorder="1" applyFont="1">
      <alignment horizontal="center" shrinkToFit="0" vertical="bottom" wrapText="1"/>
    </xf>
    <xf borderId="15" fillId="0" fontId="4" numFmtId="1" xfId="0" applyAlignment="1" applyBorder="1" applyFont="1" applyNumberFormat="1">
      <alignment vertical="bottom"/>
    </xf>
    <xf borderId="15" fillId="0" fontId="5" numFmtId="1" xfId="0" applyAlignment="1" applyBorder="1" applyFont="1" applyNumberFormat="1">
      <alignment horizontal="center" shrinkToFit="0" vertical="bottom" wrapText="1"/>
    </xf>
    <xf borderId="15" fillId="0" fontId="4" numFmtId="0" xfId="0" applyAlignment="1" applyBorder="1" applyFont="1">
      <alignment vertical="bottom"/>
    </xf>
    <xf borderId="11" fillId="3" fontId="3" numFmtId="0" xfId="0" applyAlignment="1" applyBorder="1" applyFill="1" applyFont="1">
      <alignment vertical="bottom"/>
    </xf>
    <xf borderId="22" fillId="0" fontId="5" numFmtId="0" xfId="0" applyAlignment="1" applyBorder="1" applyFont="1">
      <alignment horizontal="center" shrinkToFit="0" vertical="bottom" wrapText="1"/>
    </xf>
    <xf borderId="14" fillId="0" fontId="5" numFmtId="164" xfId="0" applyAlignment="1" applyBorder="1" applyFont="1" applyNumberFormat="1">
      <alignment horizontal="center" shrinkToFit="0" vertical="bottom" wrapText="1"/>
    </xf>
    <xf borderId="11" fillId="3" fontId="2" numFmtId="0" xfId="0" applyAlignment="1" applyBorder="1" applyFill="1" applyFont="1">
      <alignment horizontal="center" vertical="bottom"/>
    </xf>
    <xf borderId="11" fillId="6" fontId="4" numFmtId="0" xfId="0" applyAlignment="1" applyBorder="1" applyFill="1" applyFont="1">
      <alignment horizontal="left"/>
    </xf>
    <xf borderId="11" fillId="6" fontId="4" numFmtId="0" xfId="0" applyAlignment="1" applyBorder="1" applyFill="1" applyFont="1">
      <alignment horizontal="center"/>
    </xf>
    <xf borderId="14" fillId="0" fontId="5" numFmtId="0" xfId="0" applyAlignment="1" applyBorder="1" applyFont="1">
      <alignment horizontal="center" shrinkToFit="0" vertical="bottom" wrapText="1"/>
    </xf>
    <xf borderId="20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19" fillId="0" fontId="5" numFmtId="0" xfId="0" applyAlignment="1" applyBorder="1" applyFont="1">
      <alignment horizontal="center" shrinkToFit="0" vertical="bottom" wrapText="1"/>
    </xf>
    <xf borderId="5" fillId="0" fontId="5" numFmtId="1" xfId="0" applyAlignment="1" applyBorder="1" applyFont="1" applyNumberFormat="1">
      <alignment horizontal="center" shrinkToFit="0" wrapText="1"/>
    </xf>
    <xf borderId="5" fillId="0" fontId="5" numFmtId="0" xfId="0" applyAlignment="1" applyBorder="1" applyFont="1">
      <alignment horizontal="center" shrinkToFit="0" wrapText="1"/>
    </xf>
    <xf borderId="6" fillId="0" fontId="5" numFmtId="164" xfId="0" applyAlignment="1" applyBorder="1" applyFont="1" applyNumberFormat="1">
      <alignment horizontal="center" shrinkToFit="0" wrapText="1"/>
    </xf>
    <xf borderId="5" fillId="0" fontId="3" numFmtId="0" xfId="0" applyAlignment="1" applyBorder="1" applyFont="1">
      <alignment vertical="bottom"/>
    </xf>
    <xf borderId="5" fillId="0" fontId="4" numFmtId="1" xfId="0" applyAlignment="1" applyBorder="1" applyFont="1" applyNumberFormat="1">
      <alignment vertical="bottom"/>
    </xf>
    <xf borderId="5" fillId="0" fontId="2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0" fillId="4" fontId="10" numFmtId="166" xfId="0" applyAlignment="1" applyFill="1" applyFont="1" applyNumberFormat="1">
      <alignment horizontal="center"/>
    </xf>
    <xf borderId="5" fillId="0" fontId="4" numFmtId="18" xfId="0" applyAlignment="1" applyBorder="1" applyFont="1" applyNumberFormat="1">
      <alignment vertical="bottom"/>
    </xf>
    <xf borderId="11" fillId="0" fontId="4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11" fillId="0" fontId="4" numFmtId="0" xfId="0" applyAlignment="1" applyBorder="1" applyFont="1">
      <alignment horizontal="center" vertical="bottom"/>
    </xf>
    <xf borderId="11" fillId="0" fontId="14" numFmtId="0" xfId="0" applyAlignment="1" applyBorder="1" applyFont="1">
      <alignment horizontal="center" vertical="bottom"/>
    </xf>
    <xf borderId="11" fillId="0" fontId="4" numFmtId="1" xfId="0" applyAlignment="1" applyBorder="1" applyFont="1" applyNumberFormat="1">
      <alignment vertical="bottom"/>
    </xf>
    <xf borderId="11" fillId="0" fontId="4" numFmtId="18" xfId="0" applyAlignment="1" applyBorder="1" applyFont="1" applyNumberFormat="1">
      <alignment vertical="bottom"/>
    </xf>
    <xf borderId="11" fillId="0" fontId="15" numFmtId="0" xfId="0" applyAlignment="1" applyBorder="1" applyFont="1">
      <alignment vertical="bottom"/>
    </xf>
    <xf borderId="11" fillId="3" fontId="4" numFmtId="0" xfId="0" applyAlignment="1" applyBorder="1" applyFill="1" applyFont="1">
      <alignment vertical="bottom"/>
    </xf>
    <xf borderId="0" fillId="0" fontId="4" numFmtId="0" xfId="0" applyAlignment="1" applyFont="1">
      <alignment horizontal="center" vertical="bottom"/>
    </xf>
    <xf borderId="11" fillId="3" fontId="16" numFmtId="0" xfId="0" applyAlignment="1" applyBorder="1" applyFill="1" applyFont="1">
      <alignment vertical="bottom"/>
    </xf>
    <xf borderId="0" fillId="0" fontId="10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17" numFmtId="0" xfId="0" applyAlignment="1" applyFont="1">
      <alignment horizontal="left" readingOrder="0" shrinkToFit="0" vertical="center" wrapText="0"/>
    </xf>
    <xf borderId="0" fillId="0" fontId="10" numFmtId="0" xfId="0" applyFont="1"/>
    <xf borderId="15" fillId="0" fontId="2" numFmtId="0" xfId="0" applyAlignment="1" applyBorder="1" applyFont="1">
      <alignment horizontal="center" vertical="center"/>
    </xf>
    <xf borderId="33" fillId="0" fontId="10" numFmtId="0" xfId="0" applyAlignment="1" applyBorder="1" applyFont="1">
      <alignment shrinkToFit="0" vertical="center" wrapText="0"/>
    </xf>
    <xf borderId="28" fillId="0" fontId="10" numFmtId="0" xfId="0" applyAlignment="1" applyBorder="1" applyFont="1">
      <alignment shrinkToFit="0" vertical="center" wrapText="0"/>
    </xf>
    <xf borderId="7" fillId="0" fontId="6" numFmtId="0" xfId="0" applyBorder="1" applyFont="1"/>
    <xf borderId="0" fillId="0" fontId="10" numFmtId="0" xfId="0" applyAlignment="1" applyFont="1">
      <alignment shrinkToFit="0" vertical="center" wrapText="0"/>
    </xf>
    <xf borderId="8" fillId="0" fontId="10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bottom" wrapText="0"/>
    </xf>
    <xf borderId="0" fillId="0" fontId="4" numFmtId="1" xfId="0" applyAlignment="1" applyFont="1" applyNumberFormat="1">
      <alignment vertical="bottom"/>
    </xf>
    <xf borderId="34" fillId="0" fontId="10" numFmtId="0" xfId="0" applyAlignment="1" applyBorder="1" applyFont="1">
      <alignment shrinkToFit="0" vertical="center" wrapText="0"/>
    </xf>
    <xf borderId="0" fillId="0" fontId="4" numFmtId="20" xfId="0" applyFont="1" applyNumberFormat="1"/>
    <xf borderId="6" fillId="0" fontId="10" numFmtId="0" xfId="0" applyAlignment="1" applyBorder="1" applyFont="1">
      <alignment shrinkToFit="0" vertical="center" wrapText="0"/>
    </xf>
    <xf borderId="0" fillId="0" fontId="17" numFmtId="0" xfId="0" applyAlignment="1" applyFont="1">
      <alignment vertical="center"/>
    </xf>
    <xf borderId="0" fillId="0" fontId="4" numFmtId="0" xfId="0" applyFont="1"/>
    <xf borderId="11" fillId="5" fontId="10" numFmtId="165" xfId="0" applyAlignment="1" applyBorder="1" applyFill="1" applyFont="1" applyNumberFormat="1">
      <alignment horizontal="center" vertical="bottom"/>
    </xf>
    <xf borderId="11" fillId="5" fontId="10" numFmtId="18" xfId="0" applyAlignment="1" applyBorder="1" applyFill="1" applyFont="1" applyNumberFormat="1">
      <alignment horizontal="center" vertical="bottom"/>
    </xf>
    <xf borderId="11" fillId="5" fontId="10" numFmtId="0" xfId="0" applyAlignment="1" applyBorder="1" applyFill="1" applyFont="1">
      <alignment horizontal="center" vertical="bottom"/>
    </xf>
    <xf borderId="11" fillId="5" fontId="10" numFmtId="167" xfId="0" applyAlignment="1" applyBorder="1" applyFill="1" applyFont="1" applyNumberFormat="1">
      <alignment horizontal="center" vertical="bottom"/>
    </xf>
    <xf borderId="22" fillId="0" fontId="4" numFmtId="0" xfId="0" applyAlignment="1" applyBorder="1" applyFont="1">
      <alignment horizontal="left"/>
    </xf>
    <xf borderId="8" fillId="0" fontId="3" numFmtId="0" xfId="0" applyAlignment="1" applyBorder="1" applyFont="1">
      <alignment vertical="bottom"/>
    </xf>
    <xf borderId="11" fillId="0" fontId="9" numFmtId="0" xfId="0" applyAlignment="1" applyBorder="1" applyFont="1">
      <alignment horizontal="center" vertical="bottom"/>
    </xf>
    <xf borderId="11" fillId="7" fontId="4" numFmtId="0" xfId="0" applyAlignment="1" applyBorder="1" applyFill="1" applyFont="1">
      <alignment horizontal="left"/>
    </xf>
    <xf borderId="11" fillId="7" fontId="4" numFmtId="0" xfId="0" applyAlignment="1" applyBorder="1" applyFill="1" applyFont="1">
      <alignment horizontal="center"/>
    </xf>
    <xf borderId="15" fillId="0" fontId="10" numFmtId="0" xfId="0" applyAlignment="1" applyBorder="1" applyFont="1">
      <alignment horizontal="center" shrinkToFit="0" vertical="center" wrapText="1"/>
    </xf>
    <xf borderId="11" fillId="0" fontId="13" numFmtId="0" xfId="0" applyAlignment="1" applyBorder="1" applyFont="1">
      <alignment vertical="bottom"/>
    </xf>
    <xf borderId="11" fillId="0" fontId="14" numFmtId="0" xfId="0" applyAlignment="1" applyBorder="1" applyFont="1">
      <alignment vertical="bottom"/>
    </xf>
    <xf borderId="11" fillId="0" fontId="15" numFmtId="0" xfId="0" applyAlignment="1" applyBorder="1" applyFont="1">
      <alignment vertical="bottom"/>
    </xf>
    <xf borderId="11" fillId="3" fontId="4" numFmtId="0" xfId="0" applyAlignment="1" applyBorder="1" applyFill="1" applyFont="1">
      <alignment vertical="bottom"/>
    </xf>
    <xf borderId="11" fillId="3" fontId="16" numFmtId="0" xfId="0" applyAlignment="1" applyBorder="1" applyFill="1" applyFont="1">
      <alignment vertical="bottom"/>
    </xf>
    <xf borderId="11" fillId="0" fontId="14" numFmtId="0" xfId="0" applyAlignment="1" applyBorder="1" applyFont="1">
      <alignment horizontal="center" vertical="bottom"/>
    </xf>
    <xf borderId="0" fillId="0" fontId="10" numFmtId="0" xfId="0" applyAlignment="1" applyFont="1">
      <alignment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</dxfs>
  <tableStyles count="4">
    <tableStyle count="4" pivot="0" name="Geofence by vehic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Geofence by vehicle-style 2">
      <tableStyleElement dxfId="1" type="headerRow"/>
      <tableStyleElement dxfId="2" type="firstRowStripe"/>
      <tableStyleElement dxfId="3" type="secondRowStripe"/>
    </tableStyle>
    <tableStyle count="3" pivot="0" name="Geofence by vehicle-style 3">
      <tableStyleElement dxfId="1" type="headerRow"/>
      <tableStyleElement dxfId="2" type="firstRowStripe"/>
      <tableStyleElement dxfId="3" type="secondRowStripe"/>
    </tableStyle>
    <tableStyle count="4" pivot="0" name="Geofence Directo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a142f03b-593d-4259-98bb-f4b3c5f70eb6}">
    <Anchor>
      <Comment id="{d331c196-3a4e-4804-892c-365e048a184d}"/>
    </Anchor>
    <History>
      <Event time="2026-10-14T11:55:23.00" id="{9c897ab8-20d0-4138-8507-506a1b123d69}">
        <Attribution userId="placeholder@email.com" userName="Amr Rafat" userProvider="google-sheets"/>
        <Anchor>
          <Comment id="{d331c196-3a4e-4804-892c-365e048a184d}"/>
        </Anchor>
        <Create/>
      </Event>
      <Event time="2026-10-14T11:55:23.00" id="{ae5934c4-3023-486b-84d5-684a18c4f968}">
        <Attribution userId="placeholder@email.com" userName="Amr Rafat" userProvider="google-sheets"/>
        <Anchor>
          <Comment id="{d331c196-3a4e-4804-892c-365e048a184d}"/>
        </Anchor>
        <Assign userId="abdul.shami@swvl.com" userName="abdul.shami@swvl.com" userProvider="google-sheets"/>
      </Event>
    </History>
  </Task>
  <Task id="{2d5768de-2279-4a02-bcc3-8b9707167469}">
    <Anchor>
      <Comment id="{77375fc3-7e07-4870-800d-423b5d84b6c4}"/>
    </Anchor>
    <History>
      <Event time="2026-10-21T10:50:47.00" id="{5d007c8d-2058-4110-ae70-7e54a5ab165b}">
        <Attribution userId="placeholder@email.com" userName="Abdul Shami" userProvider="google-sheets"/>
        <Anchor>
          <Comment id="{77375fc3-7e07-4870-800d-423b5d84b6c4}"/>
        </Anchor>
        <Create/>
      </Event>
      <Event time="2026-10-21T10:50:47.00" id="{9bdd4c08-f2a7-4e8e-af33-b7950ff452be}">
        <Attribution userId="placeholder@email.com" userName="Abdul Shami" userProvider="google-sheets"/>
        <Anchor>
          <Comment id="{77375fc3-7e07-4870-800d-423b5d84b6c4}"/>
        </Anchor>
        <Assign userId="amr.rafat@swvl.com" userName="amr.rafat@swv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bdul.shami@swvl.com" id="{04d32f00-23a9-47ba-ad8d-cb5892bda06a}" userId="abdul.shami@swvl.com" providerId="google-sheets"/>
  <x18tc:person displayName="Abdul Shami" id="{5cddf834-e1b3-42cc-82df-a649641bceee}" providerId="google-sheets"/>
  <x18tc:person displayName="amr.rafat@swvl.com" id="{7d86d709-0bf8-4637-8865-709a9335aed7}" userId="amr.rafat@swvl.com" providerId="google-sheets"/>
  <x18tc:person displayName="Amr Rafat" id="{252f7a5f-548f-45b4-8a08-07b2c8c08bc3}" providerId="google-sheets"/>
</x18tc:personList>
</file>

<file path=xl/tables/table1.xml><?xml version="1.0" encoding="utf-8"?>
<table xmlns="http://schemas.openxmlformats.org/spreadsheetml/2006/main" ref="B2:C10" displayName="Table_1" name="Table_1" id="1">
  <tableColumns count="2">
    <tableColumn name="Site Name" id="1"/>
    <tableColumn name="Coordinates" id="2"/>
  </tableColumns>
  <tableStyleInfo name="Geofence by vehicle-style" showColumnStripes="0" showFirstColumn="1" showLastColumn="1" showRowStripes="1"/>
</table>
</file>

<file path=xl/tables/table2.xml><?xml version="1.0" encoding="utf-8"?>
<table xmlns="http://schemas.openxmlformats.org/spreadsheetml/2006/main" headerRowCount="0" ref="B12:C12" displayName="Table_2" name="Table_2" id="2">
  <tableColumns count="2">
    <tableColumn name="Column1" id="1"/>
    <tableColumn name="Column2" id="2"/>
  </tableColumns>
  <tableStyleInfo name="Geofence by vehicl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28:C28" displayName="Table_3" name="Table_3" id="3">
  <tableColumns count="2">
    <tableColumn name="Column1" id="1"/>
    <tableColumn name="Column2" id="2"/>
  </tableColumns>
  <tableStyleInfo name="Geofence by vehicl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B9" displayName="Table_4" name="Table_4" id="4">
  <tableColumns count="2">
    <tableColumn name="Site Name" id="1"/>
    <tableColumn name="Coordinates" id="2"/>
  </tableColumns>
  <tableStyleInfo name="Geofence Direc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94" dT="2026-10-14T11:55:23.00" personId="{252f7a5f-548f-45b4-8a08-07b2c8c08bc3}" id="{d331c196-3a4e-4804-892c-365e048a184d}" done="1">
    <x18tc:text xml:space="preserve">@abdul.shami@swvl.com
Assigned to abdul.shami@swvl.com</x18tc:text>
    <x18tc:mentions>
      <x18tc:mention mentionpersonId="{04d32f00-23a9-47ba-ad8d-cb5892bda06a}" mentionId="{dd09fa27-e63f-41b0-9e85-964388f6adba}" startIndex="0" length="21"/>
    </x18tc:mentions>
  </x18tc:threadedComment>
  <x18tc:threadedComment ref="A95" dT="2026-10-21T10:50:47.00" personId="{5cddf834-e1b3-42cc-82df-a649641bceee}" id="{77375fc3-7e07-4870-800d-423b5d84b6c4}" done="0">
    <x18tc:text xml:space="preserve">@amr.rafat@swvl.com FYR
Assigned to amr.rafat@swvl.com</x18tc:text>
    <x18tc:mentions>
      <x18tc:mention mentionpersonId="{7d86d709-0bf8-4637-8865-709a9335aed7}" mentionId="{0feb7fd5-a0f0-49b0-b660-4f51f5572723}" startIndex="0" length="19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9" max="9" width="33.14"/>
    <col customWidth="1" min="44" max="44" width="19.71"/>
  </cols>
  <sheetData>
    <row r="2">
      <c r="B2" s="1" t="s">
        <v>0</v>
      </c>
      <c r="C2" s="3" t="s">
        <v>1</v>
      </c>
      <c r="D2" s="3" t="s">
        <v>2</v>
      </c>
      <c r="E2" s="3" t="s">
        <v>3</v>
      </c>
      <c r="F2" s="3" t="s">
        <v>3</v>
      </c>
      <c r="G2" s="4" t="s">
        <v>4</v>
      </c>
      <c r="H2" s="4" t="s">
        <v>5</v>
      </c>
      <c r="I2" s="4" t="s">
        <v>7</v>
      </c>
      <c r="J2" s="4" t="s">
        <v>6</v>
      </c>
    </row>
    <row r="3">
      <c r="B3" s="8">
        <v>65462.0</v>
      </c>
      <c r="C3" s="10">
        <v>65462.0</v>
      </c>
      <c r="D3" s="12" t="s">
        <v>8</v>
      </c>
      <c r="E3" s="12">
        <v>51842.0</v>
      </c>
      <c r="F3" s="12">
        <v>51842.0</v>
      </c>
      <c r="G3" s="13" t="s">
        <v>13</v>
      </c>
      <c r="H3" s="13" t="s">
        <v>10</v>
      </c>
      <c r="I3" s="13" t="s">
        <v>14</v>
      </c>
      <c r="J3" s="13" t="s">
        <v>12</v>
      </c>
    </row>
    <row r="4">
      <c r="B4" s="8">
        <v>48233.0</v>
      </c>
      <c r="C4" s="10">
        <v>48233.0</v>
      </c>
      <c r="D4" s="12" t="s">
        <v>8</v>
      </c>
      <c r="E4" s="12">
        <v>52213.0</v>
      </c>
      <c r="F4" s="12">
        <v>52213.0</v>
      </c>
      <c r="G4" s="18" t="s">
        <v>18</v>
      </c>
      <c r="H4" s="13" t="s">
        <v>10</v>
      </c>
      <c r="I4" s="13" t="s">
        <v>14</v>
      </c>
      <c r="J4" s="13" t="s">
        <v>12</v>
      </c>
    </row>
    <row r="5">
      <c r="B5" s="8">
        <v>15590.0</v>
      </c>
      <c r="C5" s="10">
        <v>15590.0</v>
      </c>
      <c r="D5" s="12" t="s">
        <v>8</v>
      </c>
      <c r="E5" s="12">
        <v>25206.0</v>
      </c>
      <c r="F5" s="12">
        <v>25206.0</v>
      </c>
      <c r="G5" s="13" t="s">
        <v>16</v>
      </c>
      <c r="H5" s="13" t="s">
        <v>10</v>
      </c>
      <c r="I5" s="13" t="s">
        <v>14</v>
      </c>
      <c r="J5" s="13" t="s">
        <v>17</v>
      </c>
    </row>
    <row r="6">
      <c r="B6" s="8">
        <v>15993.0</v>
      </c>
      <c r="C6" s="10">
        <v>15993.0</v>
      </c>
      <c r="D6" s="12" t="s">
        <v>8</v>
      </c>
      <c r="E6" s="12" t="s">
        <v>21</v>
      </c>
      <c r="F6" s="12" t="s">
        <v>21</v>
      </c>
      <c r="G6" s="13" t="s">
        <v>22</v>
      </c>
      <c r="H6" s="13" t="s">
        <v>10</v>
      </c>
      <c r="I6" s="13" t="s">
        <v>14</v>
      </c>
      <c r="J6" s="13" t="s">
        <v>17</v>
      </c>
    </row>
    <row r="7">
      <c r="B7" s="6">
        <v>73398.0</v>
      </c>
      <c r="C7" s="7">
        <v>73398.0</v>
      </c>
      <c r="D7" s="9" t="s">
        <v>8</v>
      </c>
      <c r="E7" s="9">
        <v>51965.0</v>
      </c>
      <c r="F7" s="9">
        <v>51965.0</v>
      </c>
      <c r="G7" s="11" t="s">
        <v>9</v>
      </c>
      <c r="H7" s="11" t="s">
        <v>10</v>
      </c>
      <c r="I7" s="11" t="s">
        <v>14</v>
      </c>
      <c r="J7" s="11" t="s">
        <v>11</v>
      </c>
    </row>
    <row r="8">
      <c r="B8" s="31"/>
    </row>
    <row r="9">
      <c r="B9" s="31" t="s">
        <v>29</v>
      </c>
    </row>
    <row r="12" ht="15.0" customHeight="1">
      <c r="A12" s="14"/>
      <c r="B12" s="24" t="s">
        <v>15</v>
      </c>
      <c r="C12" s="26"/>
      <c r="D12" s="28" t="s">
        <v>19</v>
      </c>
      <c r="E12" s="24" t="s">
        <v>20</v>
      </c>
      <c r="F12" s="30"/>
      <c r="G12" s="24" t="s">
        <v>23</v>
      </c>
      <c r="H12" s="34" t="s">
        <v>24</v>
      </c>
      <c r="I12" s="36"/>
      <c r="J12" s="37"/>
      <c r="K12" s="34" t="s">
        <v>31</v>
      </c>
      <c r="L12" s="36"/>
      <c r="M12" s="37"/>
      <c r="N12" s="44" t="s">
        <v>34</v>
      </c>
      <c r="O12" s="36"/>
      <c r="P12" s="37"/>
      <c r="Q12" s="44" t="s">
        <v>39</v>
      </c>
      <c r="R12" s="36"/>
      <c r="S12" s="37"/>
      <c r="T12" s="44" t="s">
        <v>42</v>
      </c>
      <c r="U12" s="36"/>
      <c r="V12" s="37"/>
      <c r="W12" s="44" t="s">
        <v>44</v>
      </c>
      <c r="X12" s="36"/>
      <c r="Y12" s="37"/>
    </row>
    <row r="13" ht="15.0" customHeight="1">
      <c r="A13" s="14"/>
      <c r="B13" s="35"/>
      <c r="C13" s="33" t="s">
        <v>28</v>
      </c>
      <c r="D13" s="35"/>
      <c r="E13" s="35"/>
      <c r="F13" s="38" t="s">
        <v>30</v>
      </c>
      <c r="G13" s="35"/>
      <c r="H13" s="49" t="s">
        <v>32</v>
      </c>
      <c r="I13" s="49" t="s">
        <v>36</v>
      </c>
      <c r="J13" s="49" t="s">
        <v>35</v>
      </c>
      <c r="K13" s="49" t="s">
        <v>32</v>
      </c>
      <c r="L13" s="49" t="s">
        <v>36</v>
      </c>
      <c r="M13" s="49" t="s">
        <v>35</v>
      </c>
      <c r="N13" s="49" t="s">
        <v>32</v>
      </c>
      <c r="O13" s="49" t="s">
        <v>36</v>
      </c>
      <c r="P13" s="49" t="s">
        <v>35</v>
      </c>
      <c r="Q13" s="49" t="s">
        <v>32</v>
      </c>
      <c r="R13" s="49" t="s">
        <v>36</v>
      </c>
      <c r="S13" s="49" t="s">
        <v>35</v>
      </c>
      <c r="T13" s="49" t="s">
        <v>32</v>
      </c>
      <c r="U13" s="49" t="s">
        <v>36</v>
      </c>
      <c r="V13" s="49" t="s">
        <v>35</v>
      </c>
      <c r="W13" s="49" t="s">
        <v>32</v>
      </c>
      <c r="X13" s="49" t="s">
        <v>36</v>
      </c>
      <c r="Y13" s="49" t="s">
        <v>35</v>
      </c>
    </row>
    <row r="14" ht="15.0" customHeight="1">
      <c r="A14" s="14"/>
      <c r="B14" s="18" t="s">
        <v>13</v>
      </c>
      <c r="C14" s="50" t="s">
        <v>37</v>
      </c>
      <c r="D14" s="51">
        <v>5.24438977E8</v>
      </c>
      <c r="E14" s="52">
        <v>65462.0</v>
      </c>
      <c r="F14" s="53" t="s">
        <v>12</v>
      </c>
      <c r="G14" s="61" t="s">
        <v>8</v>
      </c>
      <c r="H14" s="57" t="s">
        <v>64</v>
      </c>
      <c r="I14" s="57" t="s">
        <v>66</v>
      </c>
      <c r="J14" s="53">
        <v>6.0</v>
      </c>
      <c r="K14" s="57" t="s">
        <v>64</v>
      </c>
      <c r="L14" s="57" t="s">
        <v>66</v>
      </c>
      <c r="M14" s="53">
        <v>4.0</v>
      </c>
      <c r="N14" s="57" t="s">
        <v>68</v>
      </c>
      <c r="O14" s="57" t="s">
        <v>69</v>
      </c>
      <c r="P14" s="53">
        <v>4.0</v>
      </c>
      <c r="Q14" s="82"/>
      <c r="R14" s="57"/>
      <c r="S14" s="53"/>
      <c r="T14" s="57"/>
      <c r="U14" s="57"/>
      <c r="V14" s="53"/>
      <c r="W14" s="57"/>
      <c r="X14" s="57"/>
      <c r="Y14" s="53"/>
    </row>
    <row r="15" ht="15.0" customHeight="1">
      <c r="A15" s="14"/>
      <c r="B15" s="18" t="s">
        <v>13</v>
      </c>
      <c r="C15" s="50" t="s">
        <v>37</v>
      </c>
      <c r="D15" s="51">
        <v>5.24438977E8</v>
      </c>
      <c r="E15" s="52">
        <v>65462.0</v>
      </c>
      <c r="F15" s="53" t="s">
        <v>12</v>
      </c>
      <c r="G15" s="61" t="s">
        <v>8</v>
      </c>
      <c r="H15" s="57" t="s">
        <v>66</v>
      </c>
      <c r="I15" s="57" t="s">
        <v>71</v>
      </c>
      <c r="J15" s="53">
        <v>4.0</v>
      </c>
      <c r="K15" s="57" t="s">
        <v>66</v>
      </c>
      <c r="L15" s="57" t="s">
        <v>71</v>
      </c>
      <c r="M15" s="53">
        <v>6.0</v>
      </c>
      <c r="N15" s="57" t="s">
        <v>69</v>
      </c>
      <c r="O15" s="57" t="s">
        <v>68</v>
      </c>
      <c r="P15" s="53">
        <v>5.0</v>
      </c>
      <c r="Q15" s="82"/>
      <c r="R15" s="57"/>
      <c r="S15" s="53"/>
      <c r="T15" s="57"/>
      <c r="U15" s="57"/>
      <c r="V15" s="53"/>
      <c r="W15" s="57"/>
      <c r="X15" s="57"/>
      <c r="Y15" s="53"/>
    </row>
    <row r="16" ht="15.0" customHeight="1">
      <c r="A16" s="14"/>
      <c r="B16" s="87"/>
      <c r="C16" s="88"/>
      <c r="D16" s="14"/>
      <c r="E16" s="14" t="s">
        <v>75</v>
      </c>
      <c r="F16" s="14"/>
      <c r="G16" s="87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ht="15.0" customHeight="1">
      <c r="A17" s="14"/>
      <c r="H17" s="14"/>
      <c r="I17" s="14"/>
      <c r="K17" s="14"/>
      <c r="L17" s="14"/>
      <c r="N17" s="14"/>
      <c r="O17" s="14"/>
      <c r="Q17" s="14"/>
      <c r="R17" s="14"/>
    </row>
    <row r="18" ht="15.0" customHeight="1">
      <c r="A18" s="14"/>
      <c r="H18" s="90">
        <v>0.19444444444444445</v>
      </c>
      <c r="I18" s="93">
        <v>0.34375</v>
      </c>
      <c r="K18" s="90">
        <v>0.6944444444444444</v>
      </c>
      <c r="L18" s="93">
        <v>0.8506944444444444</v>
      </c>
      <c r="N18" s="90">
        <v>0.875</v>
      </c>
      <c r="O18" s="93">
        <v>0.9513888888888888</v>
      </c>
      <c r="Q18" s="90"/>
      <c r="R18" s="93"/>
      <c r="T18" s="90"/>
      <c r="U18" s="93"/>
      <c r="W18" s="90"/>
      <c r="X18" s="93"/>
      <c r="Z18" s="96" t="s">
        <v>83</v>
      </c>
    </row>
    <row r="19" ht="15.0" customHeight="1">
      <c r="A19" s="14"/>
      <c r="B19" s="99" t="s">
        <v>86</v>
      </c>
      <c r="I19" s="104">
        <f>I18-H18</f>
        <v>0.1493055556</v>
      </c>
      <c r="L19" s="104">
        <f>L18-K18</f>
        <v>0.15625</v>
      </c>
      <c r="O19" s="104">
        <f>O18-N18</f>
        <v>0.07638888889</v>
      </c>
      <c r="R19" s="104">
        <f>R18-Q18</f>
        <v>0</v>
      </c>
      <c r="T19" s="96"/>
      <c r="U19" s="104">
        <f>U18-T18</f>
        <v>0</v>
      </c>
      <c r="X19" s="104">
        <f>X18-W18</f>
        <v>0</v>
      </c>
      <c r="Z19" s="120">
        <f>IF(I19&gt;=1, I19/24, I19) + IF(L19&gt;=1, L19/24, L19) + IF(O19&gt;=1, O19/24, O19) + IF(R19&gt;=1, R19/24, R19) + IF(U19&gt;=1, U19/24, U19) + IF(X19&gt;=1, X19/24, X19)</f>
        <v>0.3819444444</v>
      </c>
    </row>
    <row r="21" ht="15.75" customHeight="1"/>
    <row r="22" ht="15.0" customHeight="1">
      <c r="A22" s="14"/>
      <c r="B22" s="24" t="s">
        <v>15</v>
      </c>
      <c r="C22" s="26"/>
      <c r="D22" s="28" t="s">
        <v>19</v>
      </c>
      <c r="E22" s="24" t="s">
        <v>20</v>
      </c>
      <c r="F22" s="30"/>
      <c r="G22" s="24" t="s">
        <v>23</v>
      </c>
      <c r="H22" s="34" t="s">
        <v>24</v>
      </c>
      <c r="I22" s="36"/>
      <c r="J22" s="37"/>
      <c r="K22" s="34" t="s">
        <v>31</v>
      </c>
      <c r="L22" s="36"/>
      <c r="M22" s="37"/>
      <c r="N22" s="44" t="s">
        <v>34</v>
      </c>
      <c r="O22" s="36"/>
      <c r="P22" s="37"/>
      <c r="Q22" s="44" t="s">
        <v>39</v>
      </c>
      <c r="R22" s="36"/>
      <c r="S22" s="37"/>
      <c r="T22" s="44" t="s">
        <v>42</v>
      </c>
      <c r="U22" s="36"/>
      <c r="V22" s="37"/>
      <c r="W22" s="44" t="s">
        <v>44</v>
      </c>
      <c r="X22" s="36"/>
      <c r="Y22" s="37"/>
      <c r="Z22" s="44" t="s">
        <v>90</v>
      </c>
      <c r="AA22" s="36"/>
      <c r="AB22" s="37"/>
      <c r="AC22" s="44" t="s">
        <v>91</v>
      </c>
      <c r="AD22" s="36"/>
      <c r="AE22" s="37"/>
    </row>
    <row r="23" ht="15.0" customHeight="1">
      <c r="A23" s="14"/>
      <c r="B23" s="35"/>
      <c r="C23" s="33" t="s">
        <v>28</v>
      </c>
      <c r="D23" s="35"/>
      <c r="E23" s="35"/>
      <c r="F23" s="38" t="s">
        <v>30</v>
      </c>
      <c r="G23" s="35"/>
      <c r="H23" s="49" t="s">
        <v>32</v>
      </c>
      <c r="I23" s="49" t="s">
        <v>36</v>
      </c>
      <c r="J23" s="49" t="s">
        <v>35</v>
      </c>
      <c r="K23" s="49" t="s">
        <v>32</v>
      </c>
      <c r="L23" s="49" t="s">
        <v>36</v>
      </c>
      <c r="M23" s="49" t="s">
        <v>35</v>
      </c>
      <c r="N23" s="49" t="s">
        <v>32</v>
      </c>
      <c r="O23" s="49" t="s">
        <v>36</v>
      </c>
      <c r="P23" s="49" t="s">
        <v>35</v>
      </c>
      <c r="Q23" s="49" t="s">
        <v>32</v>
      </c>
      <c r="R23" s="49" t="s">
        <v>36</v>
      </c>
      <c r="S23" s="49" t="s">
        <v>35</v>
      </c>
      <c r="T23" s="49" t="s">
        <v>32</v>
      </c>
      <c r="U23" s="49" t="s">
        <v>36</v>
      </c>
      <c r="V23" s="49" t="s">
        <v>35</v>
      </c>
      <c r="W23" s="49" t="s">
        <v>32</v>
      </c>
      <c r="X23" s="49" t="s">
        <v>36</v>
      </c>
      <c r="Y23" s="49" t="s">
        <v>35</v>
      </c>
      <c r="Z23" s="49" t="s">
        <v>32</v>
      </c>
      <c r="AA23" s="49" t="s">
        <v>36</v>
      </c>
      <c r="AB23" s="49" t="s">
        <v>35</v>
      </c>
      <c r="AC23" s="49" t="s">
        <v>32</v>
      </c>
      <c r="AD23" s="49" t="s">
        <v>36</v>
      </c>
      <c r="AE23" s="49" t="s">
        <v>35</v>
      </c>
    </row>
    <row r="24" ht="15.0" customHeight="1">
      <c r="A24" s="14"/>
      <c r="B24" s="18" t="s">
        <v>18</v>
      </c>
      <c r="C24" s="50" t="s">
        <v>37</v>
      </c>
      <c r="D24" s="51" t="s">
        <v>92</v>
      </c>
      <c r="E24" s="52">
        <v>48233.0</v>
      </c>
      <c r="F24" s="53" t="s">
        <v>12</v>
      </c>
      <c r="G24" s="61" t="s">
        <v>8</v>
      </c>
      <c r="H24" s="57" t="s">
        <v>64</v>
      </c>
      <c r="I24" s="57" t="s">
        <v>93</v>
      </c>
      <c r="J24" s="53">
        <v>5.0</v>
      </c>
      <c r="K24" s="57" t="s">
        <v>71</v>
      </c>
      <c r="L24" s="57" t="s">
        <v>94</v>
      </c>
      <c r="M24" s="53">
        <v>3.0</v>
      </c>
      <c r="N24" s="57" t="s">
        <v>71</v>
      </c>
      <c r="O24" s="57" t="s">
        <v>95</v>
      </c>
      <c r="P24" s="53">
        <v>3.0</v>
      </c>
      <c r="Q24" s="57" t="s">
        <v>96</v>
      </c>
      <c r="R24" s="57" t="s">
        <v>97</v>
      </c>
      <c r="S24" s="53">
        <v>1.0</v>
      </c>
      <c r="T24" s="57" t="s">
        <v>64</v>
      </c>
      <c r="U24" s="57" t="s">
        <v>93</v>
      </c>
      <c r="V24" s="53">
        <v>5.0</v>
      </c>
      <c r="W24" s="57" t="s">
        <v>71</v>
      </c>
      <c r="X24" s="57" t="s">
        <v>94</v>
      </c>
      <c r="Y24" s="53">
        <v>1.0</v>
      </c>
      <c r="Z24" s="57" t="s">
        <v>71</v>
      </c>
      <c r="AA24" s="57" t="s">
        <v>98</v>
      </c>
      <c r="AB24" s="53">
        <v>0.0</v>
      </c>
      <c r="AC24" s="57" t="s">
        <v>71</v>
      </c>
      <c r="AD24" s="57" t="s">
        <v>95</v>
      </c>
      <c r="AE24" s="53">
        <v>0.0</v>
      </c>
    </row>
    <row r="25" ht="15.0" customHeight="1">
      <c r="A25" s="14"/>
      <c r="B25" s="18" t="s">
        <v>18</v>
      </c>
      <c r="C25" s="50" t="s">
        <v>37</v>
      </c>
      <c r="D25" s="51" t="s">
        <v>92</v>
      </c>
      <c r="E25" s="52">
        <v>48233.0</v>
      </c>
      <c r="F25" s="53" t="s">
        <v>12</v>
      </c>
      <c r="G25" s="61" t="s">
        <v>8</v>
      </c>
      <c r="H25" s="57" t="s">
        <v>93</v>
      </c>
      <c r="I25" s="57" t="s">
        <v>71</v>
      </c>
      <c r="J25" s="53">
        <v>5.0</v>
      </c>
      <c r="K25" s="57" t="s">
        <v>94</v>
      </c>
      <c r="L25" s="57" t="s">
        <v>71</v>
      </c>
      <c r="M25" s="53">
        <v>1.0</v>
      </c>
      <c r="N25" s="57" t="s">
        <v>95</v>
      </c>
      <c r="O25" s="57" t="s">
        <v>96</v>
      </c>
      <c r="P25" s="53">
        <v>0.0</v>
      </c>
      <c r="Q25" s="57" t="s">
        <v>97</v>
      </c>
      <c r="R25" s="57" t="s">
        <v>96</v>
      </c>
      <c r="S25" s="53">
        <v>1.0</v>
      </c>
      <c r="T25" s="57" t="s">
        <v>93</v>
      </c>
      <c r="U25" s="57" t="s">
        <v>71</v>
      </c>
      <c r="V25" s="53">
        <v>5.0</v>
      </c>
      <c r="W25" s="57" t="s">
        <v>94</v>
      </c>
      <c r="X25" s="57" t="s">
        <v>71</v>
      </c>
      <c r="Y25" s="53">
        <v>3.0</v>
      </c>
      <c r="Z25" s="57"/>
      <c r="AA25" s="57"/>
      <c r="AB25" s="53"/>
      <c r="AC25" s="57" t="s">
        <v>95</v>
      </c>
      <c r="AD25" s="57" t="s">
        <v>96</v>
      </c>
      <c r="AE25" s="53">
        <v>4.0</v>
      </c>
    </row>
    <row r="26" ht="15.0" customHeight="1">
      <c r="A26" s="14"/>
      <c r="B26" s="87"/>
      <c r="C26" s="88"/>
      <c r="D26" s="14"/>
      <c r="E26" s="14" t="s">
        <v>75</v>
      </c>
      <c r="F26" s="14"/>
      <c r="G26" s="87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ht="15.0" customHeight="1">
      <c r="A27" s="14"/>
      <c r="H27" s="14"/>
      <c r="I27" s="14"/>
      <c r="K27" s="14"/>
      <c r="L27" s="14"/>
      <c r="N27" s="14"/>
      <c r="O27" s="14"/>
      <c r="Q27" s="14"/>
      <c r="R27" s="14"/>
      <c r="AF27" s="96"/>
    </row>
    <row r="28" ht="15.0" customHeight="1">
      <c r="A28" s="14"/>
      <c r="H28" s="90">
        <v>0.19444444444444445</v>
      </c>
      <c r="I28" s="93">
        <v>0.34375</v>
      </c>
      <c r="K28" s="90">
        <v>0.3541666666666667</v>
      </c>
      <c r="L28" s="93">
        <v>0.4791666666666667</v>
      </c>
      <c r="N28" s="90">
        <v>0.5104166666666666</v>
      </c>
      <c r="O28" s="93">
        <v>0.5763888888888888</v>
      </c>
      <c r="Q28" s="90">
        <v>0.6041666666666666</v>
      </c>
      <c r="R28" s="93">
        <v>0.6597222222222222</v>
      </c>
      <c r="T28" s="90">
        <v>0.6944444444444444</v>
      </c>
      <c r="U28" s="93">
        <v>0.8506944444444444</v>
      </c>
      <c r="W28" s="90">
        <v>0.8819444444444444</v>
      </c>
      <c r="X28" s="93">
        <v>0.9583333333333334</v>
      </c>
      <c r="Z28" s="90">
        <v>0.9583333333333334</v>
      </c>
      <c r="AA28" s="93">
        <v>0.9930555555555556</v>
      </c>
      <c r="AC28" s="90">
        <v>0.0</v>
      </c>
      <c r="AD28" s="93">
        <v>0.027777777777777776</v>
      </c>
      <c r="AF28" s="96" t="s">
        <v>83</v>
      </c>
    </row>
    <row r="29" ht="15.0" customHeight="1">
      <c r="A29" s="14"/>
      <c r="B29" s="99" t="s">
        <v>86</v>
      </c>
      <c r="I29" s="104">
        <f>I28-H28</f>
        <v>0.1493055556</v>
      </c>
      <c r="L29" s="104">
        <f>L28-K28</f>
        <v>0.125</v>
      </c>
      <c r="O29" s="104">
        <f>O28-N28</f>
        <v>0.06597222222</v>
      </c>
      <c r="R29" s="104">
        <f>R28-Q28</f>
        <v>0.05555555556</v>
      </c>
      <c r="T29" s="96"/>
      <c r="U29" s="104">
        <f>U28-T28</f>
        <v>0.15625</v>
      </c>
      <c r="X29" s="104">
        <f>X28-W28</f>
        <v>0.07638888889</v>
      </c>
      <c r="AA29" s="104">
        <f>AA28-Z28</f>
        <v>0.03472222222</v>
      </c>
      <c r="AD29" s="104">
        <f>AD28-AC28</f>
        <v>0.02777777778</v>
      </c>
      <c r="AF29" s="120">
        <f>IF(I29&gt;=1, I29/24, I29) + IF(L29&gt;=1, L29/24, L29) + IF(O29&gt;=1, O29/24, O29) + IF(R29&gt;=1, R29/24, R29) + IF(U29&gt;=1, U29/24, U29) + IF(X29&gt;=1, X29/24, X29) + IF(AA29&gt;=1, AA29/24, AA29) + IF(AD29&gt;=1, AD29/24, AD29)</f>
        <v>0.6909722222</v>
      </c>
    </row>
    <row r="30" ht="15.75" customHeight="1"/>
    <row r="31" ht="15.75" customHeight="1"/>
    <row r="32" ht="15.0" customHeight="1">
      <c r="A32" s="14"/>
      <c r="B32" s="24" t="s">
        <v>15</v>
      </c>
      <c r="C32" s="26"/>
      <c r="D32" s="28" t="s">
        <v>19</v>
      </c>
      <c r="E32" s="24" t="s">
        <v>20</v>
      </c>
      <c r="F32" s="30"/>
      <c r="G32" s="24" t="s">
        <v>23</v>
      </c>
      <c r="H32" s="34" t="s">
        <v>24</v>
      </c>
      <c r="I32" s="36"/>
      <c r="J32" s="37"/>
      <c r="K32" s="34" t="s">
        <v>31</v>
      </c>
      <c r="L32" s="36"/>
      <c r="M32" s="37"/>
      <c r="N32" s="44" t="s">
        <v>34</v>
      </c>
      <c r="O32" s="36"/>
      <c r="P32" s="37"/>
      <c r="Q32" s="44" t="s">
        <v>39</v>
      </c>
      <c r="R32" s="36"/>
      <c r="S32" s="37"/>
      <c r="T32" s="44" t="s">
        <v>42</v>
      </c>
      <c r="U32" s="36"/>
      <c r="V32" s="37"/>
      <c r="W32" s="44" t="s">
        <v>44</v>
      </c>
      <c r="X32" s="36"/>
      <c r="Y32" s="37"/>
    </row>
    <row r="33" ht="15.0" customHeight="1">
      <c r="A33" s="14"/>
      <c r="B33" s="35"/>
      <c r="C33" s="33" t="s">
        <v>28</v>
      </c>
      <c r="D33" s="35"/>
      <c r="E33" s="35"/>
      <c r="F33" s="38" t="s">
        <v>30</v>
      </c>
      <c r="G33" s="35"/>
      <c r="H33" s="49" t="s">
        <v>32</v>
      </c>
      <c r="I33" s="49" t="s">
        <v>36</v>
      </c>
      <c r="J33" s="49" t="s">
        <v>35</v>
      </c>
      <c r="K33" s="49" t="s">
        <v>32</v>
      </c>
      <c r="L33" s="49" t="s">
        <v>36</v>
      </c>
      <c r="M33" s="49" t="s">
        <v>35</v>
      </c>
      <c r="N33" s="49" t="s">
        <v>32</v>
      </c>
      <c r="O33" s="49" t="s">
        <v>36</v>
      </c>
      <c r="P33" s="49" t="s">
        <v>35</v>
      </c>
      <c r="Q33" s="49" t="s">
        <v>32</v>
      </c>
      <c r="R33" s="49" t="s">
        <v>36</v>
      </c>
      <c r="S33" s="49" t="s">
        <v>35</v>
      </c>
      <c r="T33" s="49" t="s">
        <v>32</v>
      </c>
      <c r="U33" s="49" t="s">
        <v>36</v>
      </c>
      <c r="V33" s="49" t="s">
        <v>35</v>
      </c>
      <c r="W33" s="49" t="s">
        <v>32</v>
      </c>
      <c r="X33" s="49" t="s">
        <v>36</v>
      </c>
      <c r="Y33" s="49" t="s">
        <v>35</v>
      </c>
    </row>
    <row r="34" ht="15.0" customHeight="1">
      <c r="A34" s="14"/>
      <c r="B34" s="132" t="s">
        <v>16</v>
      </c>
      <c r="C34" s="50" t="s">
        <v>37</v>
      </c>
      <c r="D34" s="51"/>
      <c r="E34" s="135">
        <v>15590.0</v>
      </c>
      <c r="F34" s="53" t="s">
        <v>56</v>
      </c>
      <c r="G34" s="61" t="s">
        <v>8</v>
      </c>
      <c r="H34" s="57" t="s">
        <v>112</v>
      </c>
      <c r="I34" s="136" t="s">
        <v>113</v>
      </c>
      <c r="J34" s="53">
        <v>7.0</v>
      </c>
      <c r="K34" s="57" t="s">
        <v>112</v>
      </c>
      <c r="L34" s="137" t="s">
        <v>114</v>
      </c>
      <c r="M34" s="53">
        <v>12.0</v>
      </c>
      <c r="N34" s="57" t="s">
        <v>112</v>
      </c>
      <c r="O34" s="136" t="s">
        <v>115</v>
      </c>
      <c r="P34" s="53">
        <v>6.0</v>
      </c>
      <c r="Q34" s="57" t="s">
        <v>112</v>
      </c>
      <c r="R34" s="136" t="s">
        <v>113</v>
      </c>
      <c r="S34" s="53">
        <v>4.0</v>
      </c>
      <c r="T34" s="57" t="s">
        <v>112</v>
      </c>
      <c r="U34" s="137" t="s">
        <v>114</v>
      </c>
      <c r="V34" s="53">
        <v>11.0</v>
      </c>
      <c r="W34" s="57" t="s">
        <v>112</v>
      </c>
      <c r="X34" s="136" t="s">
        <v>115</v>
      </c>
      <c r="Y34" s="53">
        <v>6.0</v>
      </c>
    </row>
    <row r="35" ht="15.0" customHeight="1">
      <c r="A35" s="14"/>
      <c r="B35" s="132" t="s">
        <v>16</v>
      </c>
      <c r="C35" s="50" t="s">
        <v>37</v>
      </c>
      <c r="D35" s="51"/>
      <c r="E35" s="135">
        <v>15590.0</v>
      </c>
      <c r="F35" s="53" t="s">
        <v>116</v>
      </c>
      <c r="G35" s="61" t="s">
        <v>8</v>
      </c>
      <c r="H35" s="136" t="s">
        <v>113</v>
      </c>
      <c r="I35" s="57" t="s">
        <v>112</v>
      </c>
      <c r="J35" s="53">
        <v>4.0</v>
      </c>
      <c r="K35" s="137" t="s">
        <v>114</v>
      </c>
      <c r="L35" s="57" t="s">
        <v>112</v>
      </c>
      <c r="M35" s="53">
        <v>11.0</v>
      </c>
      <c r="N35" s="136" t="s">
        <v>115</v>
      </c>
      <c r="O35" s="57" t="s">
        <v>112</v>
      </c>
      <c r="P35" s="53">
        <v>6.0</v>
      </c>
      <c r="Q35" s="136" t="s">
        <v>113</v>
      </c>
      <c r="R35" s="57" t="s">
        <v>112</v>
      </c>
      <c r="S35" s="53">
        <v>7.0</v>
      </c>
      <c r="T35" s="137" t="s">
        <v>114</v>
      </c>
      <c r="U35" s="57" t="s">
        <v>112</v>
      </c>
      <c r="V35" s="53">
        <v>12.0</v>
      </c>
      <c r="W35" s="136" t="s">
        <v>115</v>
      </c>
      <c r="X35" s="57" t="s">
        <v>112</v>
      </c>
      <c r="Y35" s="53">
        <v>6.0</v>
      </c>
    </row>
    <row r="36" ht="15.0" customHeight="1">
      <c r="A36" s="14"/>
      <c r="B36" s="87"/>
      <c r="C36" s="88"/>
      <c r="D36" s="14"/>
      <c r="E36" s="14" t="s">
        <v>117</v>
      </c>
      <c r="F36" s="14"/>
      <c r="G36" s="87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ht="15.0" customHeight="1">
      <c r="A37" s="14"/>
      <c r="H37" s="14"/>
      <c r="I37" s="14"/>
      <c r="K37" s="14"/>
      <c r="L37" s="14"/>
      <c r="N37" s="14"/>
      <c r="O37" s="14"/>
      <c r="Q37" s="14"/>
      <c r="R37" s="14"/>
    </row>
    <row r="38" ht="15.0" customHeight="1">
      <c r="A38" s="14"/>
      <c r="H38" s="90">
        <v>0.1875</v>
      </c>
      <c r="I38" s="93">
        <v>0.2708333333333333</v>
      </c>
      <c r="K38" s="93">
        <v>0.2708333333333333</v>
      </c>
      <c r="L38" s="93">
        <v>0.3333333333333333</v>
      </c>
      <c r="N38" s="90">
        <v>0.3402777777777778</v>
      </c>
      <c r="O38" s="93">
        <v>0.4375</v>
      </c>
      <c r="Q38" s="90">
        <v>0.6875</v>
      </c>
      <c r="R38" s="93">
        <v>0.7708333333333334</v>
      </c>
      <c r="T38" s="90">
        <v>0.7708333333333334</v>
      </c>
      <c r="U38" s="93">
        <v>0.8333333333333334</v>
      </c>
      <c r="W38" s="90">
        <v>0.8402777777777778</v>
      </c>
      <c r="X38" s="93">
        <v>0.9375</v>
      </c>
      <c r="Z38" s="96" t="s">
        <v>83</v>
      </c>
    </row>
    <row r="39" ht="15.0" customHeight="1">
      <c r="A39" s="14"/>
      <c r="B39" s="99" t="s">
        <v>86</v>
      </c>
      <c r="I39" s="104">
        <f>I38-H38</f>
        <v>0.08333333333</v>
      </c>
      <c r="L39" s="104">
        <f>L38-K38</f>
        <v>0.0625</v>
      </c>
      <c r="O39" s="104">
        <f>O38-N38</f>
        <v>0.09722222222</v>
      </c>
      <c r="R39" s="104">
        <f>R38-Q38</f>
        <v>0.08333333333</v>
      </c>
      <c r="T39" s="96"/>
      <c r="U39" s="104">
        <f>U38-T38</f>
        <v>0.0625</v>
      </c>
      <c r="X39" s="104">
        <f>X38-W38</f>
        <v>0.09722222222</v>
      </c>
      <c r="Z39" s="120">
        <f>IF(I39&gt;=1, I39/24, I39) + IF(L39&gt;=1, L39/24, L39) + IF(O39&gt;=1, O39/24, O39) + IF(R39&gt;=1, R39/24, R39) + IF(U39&gt;=1, U39/24, U39) + IF(X39&gt;=1, X39/24, X39)</f>
        <v>0.4861111111</v>
      </c>
    </row>
    <row r="40" ht="15.75" customHeight="1"/>
    <row r="41" ht="15.75" customHeight="1"/>
    <row r="42" ht="15.0" customHeight="1">
      <c r="A42" s="14"/>
      <c r="B42" s="24" t="s">
        <v>15</v>
      </c>
      <c r="C42" s="26"/>
      <c r="D42" s="28" t="s">
        <v>19</v>
      </c>
      <c r="E42" s="24" t="s">
        <v>20</v>
      </c>
      <c r="F42" s="30"/>
      <c r="G42" s="24" t="s">
        <v>23</v>
      </c>
      <c r="H42" s="34" t="s">
        <v>24</v>
      </c>
      <c r="I42" s="36"/>
      <c r="J42" s="37"/>
      <c r="K42" s="34" t="s">
        <v>31</v>
      </c>
      <c r="L42" s="36"/>
      <c r="M42" s="37"/>
      <c r="N42" s="44" t="s">
        <v>34</v>
      </c>
      <c r="O42" s="36"/>
      <c r="P42" s="37"/>
      <c r="Q42" s="44" t="s">
        <v>39</v>
      </c>
      <c r="R42" s="36"/>
      <c r="S42" s="37"/>
      <c r="T42" s="44" t="s">
        <v>42</v>
      </c>
      <c r="U42" s="36"/>
      <c r="V42" s="37"/>
      <c r="W42" s="44" t="s">
        <v>44</v>
      </c>
      <c r="X42" s="36"/>
      <c r="Y42" s="37"/>
      <c r="Z42" s="44" t="s">
        <v>90</v>
      </c>
      <c r="AA42" s="36"/>
      <c r="AB42" s="37"/>
      <c r="AC42" s="44" t="s">
        <v>91</v>
      </c>
      <c r="AD42" s="36"/>
      <c r="AE42" s="37"/>
      <c r="AF42" s="44" t="s">
        <v>118</v>
      </c>
      <c r="AG42" s="36"/>
      <c r="AH42" s="37"/>
      <c r="AI42" s="44" t="s">
        <v>118</v>
      </c>
      <c r="AJ42" s="36"/>
      <c r="AK42" s="37"/>
      <c r="AL42" s="44" t="s">
        <v>118</v>
      </c>
      <c r="AM42" s="36"/>
      <c r="AN42" s="37"/>
      <c r="AO42" s="44" t="s">
        <v>118</v>
      </c>
      <c r="AP42" s="36"/>
      <c r="AQ42" s="37"/>
      <c r="AR42" s="44" t="s">
        <v>118</v>
      </c>
      <c r="AS42" s="36"/>
      <c r="AT42" s="37"/>
    </row>
    <row r="43" ht="15.0" customHeight="1">
      <c r="A43" s="14"/>
      <c r="B43" s="35"/>
      <c r="C43" s="33" t="s">
        <v>28</v>
      </c>
      <c r="D43" s="35"/>
      <c r="E43" s="35"/>
      <c r="F43" s="38" t="s">
        <v>30</v>
      </c>
      <c r="G43" s="35"/>
      <c r="H43" s="49" t="s">
        <v>32</v>
      </c>
      <c r="I43" s="49" t="s">
        <v>36</v>
      </c>
      <c r="J43" s="49" t="s">
        <v>35</v>
      </c>
      <c r="K43" s="49" t="s">
        <v>32</v>
      </c>
      <c r="L43" s="49" t="s">
        <v>36</v>
      </c>
      <c r="M43" s="49" t="s">
        <v>35</v>
      </c>
      <c r="N43" s="49" t="s">
        <v>32</v>
      </c>
      <c r="O43" s="49" t="s">
        <v>36</v>
      </c>
      <c r="P43" s="49" t="s">
        <v>35</v>
      </c>
      <c r="Q43" s="49" t="s">
        <v>32</v>
      </c>
      <c r="R43" s="49" t="s">
        <v>36</v>
      </c>
      <c r="S43" s="49" t="s">
        <v>35</v>
      </c>
      <c r="T43" s="49" t="s">
        <v>32</v>
      </c>
      <c r="U43" s="49" t="s">
        <v>36</v>
      </c>
      <c r="V43" s="49" t="s">
        <v>35</v>
      </c>
      <c r="W43" s="49" t="s">
        <v>32</v>
      </c>
      <c r="X43" s="49" t="s">
        <v>36</v>
      </c>
      <c r="Y43" s="49" t="s">
        <v>35</v>
      </c>
      <c r="Z43" s="49" t="s">
        <v>32</v>
      </c>
      <c r="AA43" s="49" t="s">
        <v>36</v>
      </c>
      <c r="AB43" s="49" t="s">
        <v>35</v>
      </c>
      <c r="AC43" s="49" t="s">
        <v>32</v>
      </c>
      <c r="AD43" s="49" t="s">
        <v>36</v>
      </c>
      <c r="AE43" s="49" t="s">
        <v>35</v>
      </c>
      <c r="AF43" s="49" t="s">
        <v>32</v>
      </c>
      <c r="AG43" s="49" t="s">
        <v>36</v>
      </c>
      <c r="AH43" s="49" t="s">
        <v>35</v>
      </c>
      <c r="AI43" s="49" t="s">
        <v>32</v>
      </c>
      <c r="AJ43" s="49" t="s">
        <v>36</v>
      </c>
      <c r="AK43" s="49" t="s">
        <v>35</v>
      </c>
      <c r="AL43" s="49" t="s">
        <v>32</v>
      </c>
      <c r="AM43" s="49" t="s">
        <v>36</v>
      </c>
      <c r="AN43" s="49" t="s">
        <v>35</v>
      </c>
      <c r="AO43" s="49" t="s">
        <v>32</v>
      </c>
      <c r="AP43" s="49" t="s">
        <v>36</v>
      </c>
      <c r="AQ43" s="49" t="s">
        <v>35</v>
      </c>
      <c r="AR43" s="49" t="s">
        <v>32</v>
      </c>
      <c r="AS43" s="49" t="s">
        <v>36</v>
      </c>
      <c r="AT43" s="49" t="s">
        <v>35</v>
      </c>
    </row>
    <row r="44" ht="15.0" customHeight="1">
      <c r="A44" s="14"/>
      <c r="B44" s="132" t="s">
        <v>22</v>
      </c>
      <c r="C44" s="50" t="s">
        <v>37</v>
      </c>
      <c r="D44" s="51"/>
      <c r="E44" s="135">
        <v>15993.0</v>
      </c>
      <c r="F44" s="53" t="s">
        <v>116</v>
      </c>
      <c r="G44" s="61" t="s">
        <v>8</v>
      </c>
      <c r="H44" s="57" t="s">
        <v>144</v>
      </c>
      <c r="I44" s="57" t="s">
        <v>145</v>
      </c>
      <c r="J44" s="53">
        <v>8.0</v>
      </c>
      <c r="K44" s="57" t="s">
        <v>144</v>
      </c>
      <c r="L44" s="53" t="s">
        <v>146</v>
      </c>
      <c r="M44" s="53">
        <v>6.0</v>
      </c>
      <c r="N44" s="57" t="s">
        <v>144</v>
      </c>
      <c r="O44" s="57" t="s">
        <v>149</v>
      </c>
      <c r="P44" s="53">
        <v>13.0</v>
      </c>
      <c r="Q44" s="57" t="s">
        <v>144</v>
      </c>
      <c r="R44" s="57" t="s">
        <v>151</v>
      </c>
      <c r="S44" s="53">
        <v>1.0</v>
      </c>
      <c r="T44" s="57" t="s">
        <v>152</v>
      </c>
      <c r="U44" s="57" t="s">
        <v>126</v>
      </c>
      <c r="V44" s="53">
        <v>2.0</v>
      </c>
      <c r="W44" s="57" t="s">
        <v>144</v>
      </c>
      <c r="X44" s="57" t="s">
        <v>127</v>
      </c>
      <c r="Y44" s="53">
        <v>12.0</v>
      </c>
      <c r="Z44" s="57" t="s">
        <v>144</v>
      </c>
      <c r="AA44" s="57" t="s">
        <v>153</v>
      </c>
      <c r="AB44" s="53">
        <v>11.0</v>
      </c>
      <c r="AC44" s="57" t="s">
        <v>144</v>
      </c>
      <c r="AD44" s="57" t="s">
        <v>154</v>
      </c>
      <c r="AE44" s="53">
        <v>8.0</v>
      </c>
      <c r="AF44" s="57" t="s">
        <v>144</v>
      </c>
      <c r="AG44" s="57" t="s">
        <v>146</v>
      </c>
      <c r="AH44" s="53">
        <v>2.0</v>
      </c>
      <c r="AI44" s="57" t="s">
        <v>144</v>
      </c>
      <c r="AJ44" s="57" t="s">
        <v>149</v>
      </c>
      <c r="AK44" s="53">
        <v>10.0</v>
      </c>
      <c r="AL44" s="57" t="s">
        <v>144</v>
      </c>
      <c r="AM44" s="57" t="s">
        <v>127</v>
      </c>
      <c r="AN44" s="53">
        <v>0.0</v>
      </c>
      <c r="AO44" s="57" t="s">
        <v>144</v>
      </c>
      <c r="AP44" s="57" t="s">
        <v>139</v>
      </c>
      <c r="AQ44" s="53">
        <v>0.0</v>
      </c>
      <c r="AR44" s="57" t="s">
        <v>144</v>
      </c>
      <c r="AS44" s="57" t="s">
        <v>158</v>
      </c>
      <c r="AT44" s="53">
        <v>0.0</v>
      </c>
    </row>
    <row r="45" ht="15.0" customHeight="1">
      <c r="A45" s="14"/>
      <c r="B45" s="132" t="s">
        <v>22</v>
      </c>
      <c r="C45" s="50" t="s">
        <v>37</v>
      </c>
      <c r="D45" s="51"/>
      <c r="E45" s="135">
        <v>15993.0</v>
      </c>
      <c r="F45" s="53" t="s">
        <v>116</v>
      </c>
      <c r="G45" s="61" t="s">
        <v>8</v>
      </c>
      <c r="H45" s="57" t="s">
        <v>145</v>
      </c>
      <c r="I45" s="57" t="s">
        <v>144</v>
      </c>
      <c r="J45" s="53">
        <v>6.0</v>
      </c>
      <c r="K45" s="53" t="s">
        <v>146</v>
      </c>
      <c r="L45" s="57" t="s">
        <v>144</v>
      </c>
      <c r="M45" s="53">
        <v>2.0</v>
      </c>
      <c r="N45" s="57" t="s">
        <v>149</v>
      </c>
      <c r="O45" s="57" t="s">
        <v>144</v>
      </c>
      <c r="P45" s="53">
        <v>10.0</v>
      </c>
      <c r="Q45" s="57" t="s">
        <v>151</v>
      </c>
      <c r="R45" s="57" t="s">
        <v>144</v>
      </c>
      <c r="S45" s="53">
        <v>0.0</v>
      </c>
      <c r="T45" s="57" t="s">
        <v>126</v>
      </c>
      <c r="U45" s="57" t="s">
        <v>159</v>
      </c>
      <c r="V45" s="53">
        <v>0.0</v>
      </c>
      <c r="W45" s="57" t="s">
        <v>127</v>
      </c>
      <c r="X45" s="57" t="s">
        <v>144</v>
      </c>
      <c r="Y45" s="53">
        <v>12.0</v>
      </c>
      <c r="Z45" s="57" t="s">
        <v>153</v>
      </c>
      <c r="AA45" s="57" t="s">
        <v>144</v>
      </c>
      <c r="AB45" s="53">
        <v>11.0</v>
      </c>
      <c r="AC45" s="57" t="s">
        <v>154</v>
      </c>
      <c r="AD45" s="57" t="s">
        <v>144</v>
      </c>
      <c r="AE45" s="53">
        <v>6.0</v>
      </c>
      <c r="AF45" s="57" t="s">
        <v>146</v>
      </c>
      <c r="AG45" s="57" t="s">
        <v>144</v>
      </c>
      <c r="AH45" s="53">
        <v>6.0</v>
      </c>
      <c r="AI45" s="57" t="s">
        <v>149</v>
      </c>
      <c r="AJ45" s="57" t="s">
        <v>144</v>
      </c>
      <c r="AK45" s="53">
        <v>13.0</v>
      </c>
      <c r="AL45" s="57" t="s">
        <v>127</v>
      </c>
      <c r="AM45" s="57" t="s">
        <v>144</v>
      </c>
      <c r="AN45" s="53">
        <v>12.0</v>
      </c>
      <c r="AO45" s="57" t="s">
        <v>139</v>
      </c>
      <c r="AP45" s="57" t="s">
        <v>144</v>
      </c>
      <c r="AQ45" s="53">
        <v>2.0</v>
      </c>
      <c r="AR45" s="57" t="s">
        <v>158</v>
      </c>
      <c r="AS45" s="57" t="s">
        <v>144</v>
      </c>
      <c r="AT45" s="53">
        <v>2.0</v>
      </c>
    </row>
    <row r="46" ht="15.0" customHeight="1">
      <c r="A46" s="14"/>
      <c r="B46" s="87"/>
      <c r="C46" s="88"/>
      <c r="D46" s="14"/>
      <c r="E46" s="14" t="s">
        <v>117</v>
      </c>
      <c r="F46" s="14"/>
      <c r="G46" s="87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 ht="15.0" customHeight="1">
      <c r="A47" s="14"/>
      <c r="H47" s="14"/>
      <c r="I47" s="14"/>
      <c r="K47" s="14"/>
      <c r="L47" s="14"/>
      <c r="N47" s="14"/>
      <c r="O47" s="14"/>
      <c r="Q47" s="14"/>
      <c r="R47" s="14"/>
    </row>
    <row r="48" ht="15.0" customHeight="1">
      <c r="A48" s="14"/>
      <c r="H48" s="14"/>
      <c r="I48" s="14"/>
      <c r="K48" s="14"/>
      <c r="L48" s="14"/>
      <c r="N48" s="14"/>
      <c r="O48" s="14"/>
      <c r="Q48" s="14"/>
      <c r="R48" s="14"/>
    </row>
    <row r="49" ht="15.0" customHeight="1">
      <c r="A49" s="14"/>
      <c r="H49" s="90">
        <v>0.1875</v>
      </c>
      <c r="I49" s="93">
        <v>0.25</v>
      </c>
      <c r="K49" s="93">
        <v>0.25</v>
      </c>
      <c r="L49" s="90">
        <v>0.2986111111111111</v>
      </c>
      <c r="N49" s="90">
        <v>0.3055555555555556</v>
      </c>
      <c r="O49" s="93">
        <v>0.3541666666666667</v>
      </c>
      <c r="Q49" s="93">
        <v>0.3541666666666667</v>
      </c>
      <c r="R49" s="93">
        <v>0.3958333333333333</v>
      </c>
      <c r="T49" s="90">
        <v>0.4375</v>
      </c>
      <c r="U49" s="93">
        <v>0.5208333333333334</v>
      </c>
      <c r="W49" s="90">
        <v>0.6041666666666666</v>
      </c>
      <c r="X49" s="93">
        <v>0.65625</v>
      </c>
      <c r="Z49" s="90">
        <v>0.65625</v>
      </c>
      <c r="AA49" s="93">
        <v>0.6979166666666666</v>
      </c>
      <c r="AC49" s="90">
        <v>0.6979166666666666</v>
      </c>
      <c r="AD49" s="93">
        <v>0.7569444444444444</v>
      </c>
      <c r="AF49" s="93">
        <v>0.7569444444444444</v>
      </c>
      <c r="AG49" s="93">
        <v>0.8020833333333334</v>
      </c>
      <c r="AI49" s="93">
        <v>0.8055555555555556</v>
      </c>
      <c r="AJ49" s="93">
        <v>0.8541666666666666</v>
      </c>
      <c r="AL49" s="93">
        <v>0.8958333333333334</v>
      </c>
      <c r="AM49" s="93">
        <v>0.9270833333333334</v>
      </c>
      <c r="AO49" s="93">
        <v>0.9305555555555556</v>
      </c>
      <c r="AP49" s="93">
        <v>0.9791666666666666</v>
      </c>
      <c r="AR49" s="93">
        <v>0.9791666666666666</v>
      </c>
      <c r="AS49" s="93">
        <v>0.020833333333333332</v>
      </c>
      <c r="AU49" s="96" t="s">
        <v>83</v>
      </c>
    </row>
    <row r="50" ht="15.0" customHeight="1">
      <c r="A50" s="14"/>
      <c r="B50" s="99" t="s">
        <v>86</v>
      </c>
      <c r="I50" s="104">
        <f>I49-H49</f>
        <v>0.0625</v>
      </c>
      <c r="L50" s="104">
        <f>L49-K49</f>
        <v>0.04861111111</v>
      </c>
      <c r="O50" s="104">
        <f>O49-N49</f>
        <v>0.04861111111</v>
      </c>
      <c r="R50" s="104">
        <f>R49-Q49</f>
        <v>0.04166666667</v>
      </c>
      <c r="T50" s="96"/>
      <c r="U50" s="104">
        <f>U49-T49</f>
        <v>0.08333333333</v>
      </c>
      <c r="X50" s="104">
        <f>X49-W49</f>
        <v>0.05208333333</v>
      </c>
      <c r="AA50" s="104">
        <f>AA49-Z49</f>
        <v>0.04166666667</v>
      </c>
      <c r="AD50" s="104">
        <f>AD49-AC49</f>
        <v>0.05902777778</v>
      </c>
      <c r="AG50" s="104">
        <f>AG49-AF49</f>
        <v>0.04513888889</v>
      </c>
      <c r="AJ50" s="104">
        <f>AJ49-AI49</f>
        <v>0.04861111111</v>
      </c>
      <c r="AM50" s="104">
        <f>AM49-AL49</f>
        <v>0.03125</v>
      </c>
      <c r="AP50" s="104">
        <f>AP49-AO49</f>
        <v>0.04861111111</v>
      </c>
      <c r="AS50" s="174">
        <v>0.041666666666666664</v>
      </c>
      <c r="AU50" s="120">
        <f>IF(I50&gt;=1, I50/24, I50) + IF(L50&gt;=1, L50/24, L50) + IF(O50&gt;=1, O50/24, O50) + IF(R50&gt;=1, R50/24, R50) + IF(U50&gt;=1, U50/24, U50) + IF(X50&gt;=1, X50/24, X50) + IF(AA50&gt;=1, AA50/24, AA50) + IF(AD50&gt;=1, AD50/24, AD50) + IF(AG50&gt;=1, AG50/24, AG50) + IF(AJ50&gt;=1, AJ50/24, AJ50) + IF(AM50&gt;=1, AM50/24, AM50) + IF(AP50&gt;=1, AP50/24, AP50) + IF(AS50&gt;=1, AS50/24, AS50)</f>
        <v>0.6527777778</v>
      </c>
    </row>
    <row r="51" ht="15.75" customHeight="1"/>
    <row r="52" ht="15.75" customHeight="1"/>
    <row r="53" ht="15.75" customHeight="1"/>
    <row r="54" ht="15.0" customHeight="1">
      <c r="A54" s="14"/>
      <c r="B54" s="24" t="s">
        <v>15</v>
      </c>
      <c r="C54" s="26"/>
      <c r="D54" s="28" t="s">
        <v>19</v>
      </c>
      <c r="E54" s="24" t="s">
        <v>20</v>
      </c>
      <c r="F54" s="30"/>
      <c r="G54" s="24" t="s">
        <v>23</v>
      </c>
      <c r="H54" s="34" t="s">
        <v>24</v>
      </c>
      <c r="I54" s="36"/>
      <c r="J54" s="37"/>
      <c r="K54" s="34" t="s">
        <v>31</v>
      </c>
      <c r="L54" s="36"/>
      <c r="M54" s="37"/>
      <c r="N54" s="44" t="s">
        <v>34</v>
      </c>
      <c r="O54" s="36"/>
      <c r="P54" s="37"/>
      <c r="Q54" s="44" t="s">
        <v>39</v>
      </c>
      <c r="R54" s="36"/>
      <c r="S54" s="37"/>
      <c r="T54" s="44" t="s">
        <v>42</v>
      </c>
      <c r="U54" s="36"/>
      <c r="V54" s="37"/>
      <c r="W54" s="44" t="s">
        <v>44</v>
      </c>
      <c r="X54" s="36"/>
      <c r="Y54" s="37"/>
    </row>
    <row r="55" ht="15.0" customHeight="1">
      <c r="A55" s="14"/>
      <c r="B55" s="35"/>
      <c r="C55" s="33" t="s">
        <v>28</v>
      </c>
      <c r="D55" s="35"/>
      <c r="E55" s="35"/>
      <c r="F55" s="38" t="s">
        <v>30</v>
      </c>
      <c r="G55" s="35"/>
      <c r="H55" s="49" t="s">
        <v>32</v>
      </c>
      <c r="I55" s="49" t="s">
        <v>36</v>
      </c>
      <c r="J55" s="49" t="s">
        <v>35</v>
      </c>
      <c r="K55" s="49" t="s">
        <v>32</v>
      </c>
      <c r="L55" s="49" t="s">
        <v>36</v>
      </c>
      <c r="M55" s="49" t="s">
        <v>35</v>
      </c>
      <c r="N55" s="49" t="s">
        <v>32</v>
      </c>
      <c r="O55" s="49" t="s">
        <v>36</v>
      </c>
      <c r="P55" s="49" t="s">
        <v>35</v>
      </c>
      <c r="Q55" s="49" t="s">
        <v>32</v>
      </c>
      <c r="R55" s="49" t="s">
        <v>36</v>
      </c>
      <c r="S55" s="49" t="s">
        <v>35</v>
      </c>
      <c r="T55" s="49" t="s">
        <v>32</v>
      </c>
      <c r="U55" s="49" t="s">
        <v>36</v>
      </c>
      <c r="V55" s="49" t="s">
        <v>35</v>
      </c>
      <c r="W55" s="49" t="s">
        <v>32</v>
      </c>
      <c r="X55" s="49" t="s">
        <v>36</v>
      </c>
      <c r="Y55" s="49" t="s">
        <v>35</v>
      </c>
    </row>
    <row r="56" ht="15.0" customHeight="1">
      <c r="A56" s="14"/>
      <c r="B56" s="132" t="s">
        <v>9</v>
      </c>
      <c r="C56" s="50" t="s">
        <v>37</v>
      </c>
      <c r="D56" s="184" t="s">
        <v>192</v>
      </c>
      <c r="E56" s="6">
        <v>73398.0</v>
      </c>
      <c r="F56" s="53" t="s">
        <v>193</v>
      </c>
      <c r="G56" s="61" t="s">
        <v>8</v>
      </c>
      <c r="H56" s="57" t="s">
        <v>194</v>
      </c>
      <c r="I56" s="185" t="s">
        <v>195</v>
      </c>
      <c r="J56" s="53">
        <v>6.0</v>
      </c>
      <c r="K56" s="57" t="s">
        <v>197</v>
      </c>
      <c r="L56" s="186" t="s">
        <v>198</v>
      </c>
      <c r="M56" s="53">
        <v>9.0</v>
      </c>
      <c r="N56" s="57" t="s">
        <v>194</v>
      </c>
      <c r="O56" s="185" t="s">
        <v>195</v>
      </c>
      <c r="P56" s="53">
        <v>7.0</v>
      </c>
      <c r="Q56" s="57" t="s">
        <v>197</v>
      </c>
      <c r="R56" s="185" t="s">
        <v>198</v>
      </c>
      <c r="S56" s="53">
        <v>5.0</v>
      </c>
      <c r="T56" s="57"/>
      <c r="U56" s="57"/>
      <c r="V56" s="53"/>
      <c r="W56" s="57"/>
      <c r="X56" s="57"/>
      <c r="Y56" s="53"/>
    </row>
    <row r="57" ht="15.0" customHeight="1">
      <c r="A57" s="14"/>
      <c r="B57" s="132" t="s">
        <v>9</v>
      </c>
      <c r="C57" s="50" t="s">
        <v>37</v>
      </c>
      <c r="D57" s="184" t="s">
        <v>192</v>
      </c>
      <c r="E57" s="6">
        <v>73398.0</v>
      </c>
      <c r="F57" s="53" t="s">
        <v>193</v>
      </c>
      <c r="G57" s="61" t="s">
        <v>8</v>
      </c>
      <c r="H57" s="185" t="s">
        <v>195</v>
      </c>
      <c r="I57" s="57" t="s">
        <v>194</v>
      </c>
      <c r="J57" s="53">
        <v>7.0</v>
      </c>
      <c r="K57" s="186" t="s">
        <v>198</v>
      </c>
      <c r="L57" s="57" t="s">
        <v>197</v>
      </c>
      <c r="M57" s="53">
        <v>5.0</v>
      </c>
      <c r="N57" s="185" t="s">
        <v>195</v>
      </c>
      <c r="O57" s="57" t="s">
        <v>194</v>
      </c>
      <c r="P57" s="53">
        <v>6.0</v>
      </c>
      <c r="Q57" s="185" t="s">
        <v>198</v>
      </c>
      <c r="R57" s="57" t="s">
        <v>197</v>
      </c>
      <c r="S57" s="53">
        <v>9.0</v>
      </c>
      <c r="T57" s="57"/>
      <c r="U57" s="57"/>
      <c r="V57" s="53"/>
      <c r="W57" s="57"/>
      <c r="X57" s="57"/>
      <c r="Y57" s="53"/>
    </row>
    <row r="58" ht="15.0" customHeight="1">
      <c r="A58" s="14"/>
      <c r="B58" s="87"/>
      <c r="C58" s="88"/>
      <c r="D58" s="14"/>
      <c r="E58" s="14" t="s">
        <v>199</v>
      </c>
      <c r="F58" s="14"/>
      <c r="G58" s="87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ht="15.0" customHeight="1">
      <c r="A59" s="14"/>
      <c r="H59" s="14"/>
      <c r="I59" s="14"/>
      <c r="K59" s="14"/>
      <c r="L59" s="14"/>
      <c r="N59" s="14"/>
      <c r="O59" s="14"/>
      <c r="Q59" s="14"/>
      <c r="R59" s="14"/>
    </row>
    <row r="60" ht="15.0" customHeight="1">
      <c r="A60" s="14"/>
      <c r="H60" s="90">
        <v>0.20833333333333334</v>
      </c>
      <c r="I60" s="93">
        <v>0.3125</v>
      </c>
      <c r="K60" s="90">
        <v>0.3125</v>
      </c>
      <c r="L60" s="93">
        <v>0.3958333333333333</v>
      </c>
      <c r="N60" s="90">
        <v>0.7083333333333334</v>
      </c>
      <c r="O60" s="93">
        <v>0.8125</v>
      </c>
      <c r="Q60" s="90">
        <v>0.8125</v>
      </c>
      <c r="R60" s="93">
        <v>0.8958333333333334</v>
      </c>
      <c r="T60" s="90"/>
      <c r="U60" s="93"/>
      <c r="W60" s="90"/>
      <c r="X60" s="93"/>
      <c r="Z60" s="96" t="s">
        <v>83</v>
      </c>
    </row>
    <row r="61" ht="15.0" customHeight="1">
      <c r="A61" s="14"/>
      <c r="B61" s="99" t="s">
        <v>86</v>
      </c>
      <c r="I61" s="104">
        <f>I60-H60</f>
        <v>0.1041666667</v>
      </c>
      <c r="L61" s="104">
        <f>L60-K60</f>
        <v>0.08333333333</v>
      </c>
      <c r="O61" s="104">
        <f>O60-N60</f>
        <v>0.1041666667</v>
      </c>
      <c r="R61" s="104">
        <f>R60-Q60</f>
        <v>0.08333333333</v>
      </c>
      <c r="T61" s="96"/>
      <c r="U61" s="104"/>
      <c r="X61" s="104"/>
      <c r="Z61" s="120">
        <f>IF(I61&gt;=1, I61/24, I61) + IF(L61&gt;=1, L61/24, L61) + IF(O61&gt;=1, O61/24, O61) + IF(R61&gt;=1, R61/24, R61) + IF(U61&gt;=1, U61/24, U61) + IF(X61&gt;=1, X61/24, X61)</f>
        <v>0.375</v>
      </c>
    </row>
    <row r="62" ht="15.75" customHeight="1">
      <c r="M62" s="164" t="s">
        <v>215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AL42:AN42"/>
    <mergeCell ref="AO42:AQ42"/>
    <mergeCell ref="AR42:AT42"/>
    <mergeCell ref="Q42:S42"/>
    <mergeCell ref="T42:V42"/>
    <mergeCell ref="W42:Y42"/>
    <mergeCell ref="Z42:AB42"/>
    <mergeCell ref="AC42:AE42"/>
    <mergeCell ref="AF42:AH42"/>
    <mergeCell ref="AI42:AK42"/>
    <mergeCell ref="Q54:S54"/>
    <mergeCell ref="T54:V54"/>
    <mergeCell ref="W54:Y54"/>
    <mergeCell ref="B54:B55"/>
    <mergeCell ref="D54:D55"/>
    <mergeCell ref="E54:E55"/>
    <mergeCell ref="G54:G55"/>
    <mergeCell ref="H54:J54"/>
    <mergeCell ref="K54:M54"/>
    <mergeCell ref="N54:P54"/>
    <mergeCell ref="Q12:S12"/>
    <mergeCell ref="T12:V12"/>
    <mergeCell ref="W12:Y12"/>
    <mergeCell ref="B12:B13"/>
    <mergeCell ref="D12:D13"/>
    <mergeCell ref="E12:E13"/>
    <mergeCell ref="G12:G13"/>
    <mergeCell ref="H12:J12"/>
    <mergeCell ref="K12:M12"/>
    <mergeCell ref="N12:P12"/>
    <mergeCell ref="Q22:S22"/>
    <mergeCell ref="T22:V22"/>
    <mergeCell ref="W22:Y22"/>
    <mergeCell ref="Z22:AB22"/>
    <mergeCell ref="AC22:AE22"/>
    <mergeCell ref="B22:B23"/>
    <mergeCell ref="D22:D23"/>
    <mergeCell ref="E22:E23"/>
    <mergeCell ref="G22:G23"/>
    <mergeCell ref="H22:J22"/>
    <mergeCell ref="K22:M22"/>
    <mergeCell ref="N22:P22"/>
    <mergeCell ref="Q32:S32"/>
    <mergeCell ref="T32:V32"/>
    <mergeCell ref="W32:Y32"/>
    <mergeCell ref="B32:B33"/>
    <mergeCell ref="D32:D33"/>
    <mergeCell ref="E32:E33"/>
    <mergeCell ref="G32:G33"/>
    <mergeCell ref="H32:J32"/>
    <mergeCell ref="K32:M32"/>
    <mergeCell ref="N32:P32"/>
    <mergeCell ref="B42:B43"/>
    <mergeCell ref="D42:D43"/>
    <mergeCell ref="E42:E43"/>
    <mergeCell ref="G42:G43"/>
    <mergeCell ref="H42:J42"/>
    <mergeCell ref="K42:M42"/>
    <mergeCell ref="N42:P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14"/>
    <col customWidth="1" min="3" max="6" width="14.43"/>
    <col customWidth="1" min="8" max="8" width="23.14"/>
    <col customWidth="1" min="9" max="9" width="33.14"/>
    <col customWidth="1" min="10" max="10" width="13.86"/>
    <col customWidth="1" min="11" max="12" width="31.14"/>
    <col customWidth="1" min="14" max="14" width="26.29"/>
    <col customWidth="1" min="22" max="22" width="33.14"/>
  </cols>
  <sheetData>
    <row r="2">
      <c r="B2" s="2" t="s">
        <v>0</v>
      </c>
      <c r="C2" s="3" t="s">
        <v>1</v>
      </c>
      <c r="D2" s="3" t="s">
        <v>2</v>
      </c>
      <c r="E2" s="3" t="s">
        <v>3</v>
      </c>
      <c r="F2" s="3" t="s">
        <v>3</v>
      </c>
      <c r="G2" s="4" t="s">
        <v>4</v>
      </c>
      <c r="H2" s="4" t="s">
        <v>5</v>
      </c>
      <c r="I2" s="4" t="s">
        <v>7</v>
      </c>
      <c r="J2" s="5" t="s">
        <v>6</v>
      </c>
    </row>
    <row r="3">
      <c r="B3" s="8">
        <v>65462.0</v>
      </c>
      <c r="C3" s="10">
        <v>65462.0</v>
      </c>
      <c r="D3" s="12" t="s">
        <v>8</v>
      </c>
      <c r="E3" s="12">
        <v>51842.0</v>
      </c>
      <c r="F3" s="12">
        <v>51842.0</v>
      </c>
      <c r="G3" s="13" t="s">
        <v>13</v>
      </c>
      <c r="H3" s="13" t="s">
        <v>10</v>
      </c>
      <c r="I3" s="13" t="s">
        <v>14</v>
      </c>
      <c r="J3" s="13" t="s">
        <v>12</v>
      </c>
    </row>
    <row r="4">
      <c r="B4" s="6">
        <v>48233.0</v>
      </c>
      <c r="C4" s="7">
        <v>48233.0</v>
      </c>
      <c r="D4" s="9" t="s">
        <v>8</v>
      </c>
      <c r="E4" s="9">
        <v>52213.0</v>
      </c>
      <c r="F4" s="9">
        <v>52213.0</v>
      </c>
      <c r="G4" s="18" t="s">
        <v>18</v>
      </c>
      <c r="H4" s="11" t="s">
        <v>10</v>
      </c>
      <c r="I4" s="11" t="s">
        <v>14</v>
      </c>
      <c r="J4" s="11" t="s">
        <v>12</v>
      </c>
    </row>
    <row r="6" ht="15.0" customHeight="1">
      <c r="A6" s="14"/>
      <c r="B6" s="24" t="s">
        <v>15</v>
      </c>
      <c r="C6" s="26"/>
      <c r="D6" s="28" t="s">
        <v>19</v>
      </c>
      <c r="E6" s="24" t="s">
        <v>20</v>
      </c>
      <c r="F6" s="30"/>
      <c r="G6" s="24" t="s">
        <v>23</v>
      </c>
      <c r="H6" s="34" t="s">
        <v>24</v>
      </c>
      <c r="I6" s="36"/>
      <c r="J6" s="37"/>
      <c r="K6" s="34" t="s">
        <v>31</v>
      </c>
      <c r="L6" s="36"/>
      <c r="M6" s="37"/>
      <c r="N6" s="44" t="s">
        <v>34</v>
      </c>
      <c r="O6" s="36"/>
      <c r="P6" s="37"/>
    </row>
    <row r="7" ht="15.0" customHeight="1">
      <c r="A7" s="14"/>
      <c r="B7" s="35"/>
      <c r="C7" s="33" t="s">
        <v>28</v>
      </c>
      <c r="D7" s="35"/>
      <c r="E7" s="35"/>
      <c r="F7" s="38" t="s">
        <v>30</v>
      </c>
      <c r="G7" s="35"/>
      <c r="H7" s="49" t="s">
        <v>32</v>
      </c>
      <c r="I7" s="49" t="s">
        <v>36</v>
      </c>
      <c r="J7" s="49" t="s">
        <v>35</v>
      </c>
      <c r="K7" s="49" t="s">
        <v>32</v>
      </c>
      <c r="L7" s="49" t="s">
        <v>36</v>
      </c>
      <c r="M7" s="49" t="s">
        <v>35</v>
      </c>
      <c r="N7" s="49" t="s">
        <v>32</v>
      </c>
      <c r="O7" s="49" t="s">
        <v>36</v>
      </c>
      <c r="P7" s="49" t="s">
        <v>35</v>
      </c>
    </row>
    <row r="8" ht="15.0" customHeight="1">
      <c r="A8" s="14"/>
      <c r="B8" s="18" t="s">
        <v>13</v>
      </c>
      <c r="C8" s="50" t="s">
        <v>37</v>
      </c>
      <c r="D8" s="51">
        <v>5.24438977E8</v>
      </c>
      <c r="E8" s="52">
        <v>65462.0</v>
      </c>
      <c r="F8" s="53" t="s">
        <v>12</v>
      </c>
      <c r="G8" s="61" t="s">
        <v>8</v>
      </c>
      <c r="H8" s="57" t="s">
        <v>47</v>
      </c>
      <c r="I8" s="57" t="s">
        <v>48</v>
      </c>
      <c r="J8" s="53">
        <v>0.0</v>
      </c>
      <c r="K8" s="57" t="s">
        <v>47</v>
      </c>
      <c r="L8" s="57" t="s">
        <v>48</v>
      </c>
      <c r="M8" s="53">
        <v>0.0</v>
      </c>
      <c r="N8" s="57" t="s">
        <v>47</v>
      </c>
      <c r="O8" s="57" t="s">
        <v>49</v>
      </c>
      <c r="P8" s="53">
        <v>3.0</v>
      </c>
    </row>
    <row r="9" ht="15.0" customHeight="1">
      <c r="A9" s="14"/>
      <c r="B9" s="18"/>
      <c r="C9" s="50"/>
      <c r="D9" s="51"/>
      <c r="E9" s="52"/>
      <c r="F9" s="53"/>
      <c r="G9" s="61"/>
      <c r="H9" s="57" t="s">
        <v>48</v>
      </c>
      <c r="I9" s="57" t="s">
        <v>51</v>
      </c>
      <c r="J9" s="53">
        <v>2.0</v>
      </c>
      <c r="K9" s="57" t="s">
        <v>48</v>
      </c>
      <c r="L9" s="57" t="s">
        <v>51</v>
      </c>
      <c r="M9" s="53">
        <v>0.0</v>
      </c>
      <c r="N9" s="57"/>
      <c r="O9" s="66" t="s">
        <v>52</v>
      </c>
      <c r="P9" s="53">
        <v>1.0</v>
      </c>
    </row>
    <row r="10" ht="15.0" customHeight="1">
      <c r="A10" s="14"/>
      <c r="B10" s="18"/>
      <c r="C10" s="50"/>
      <c r="D10" s="51"/>
      <c r="E10" s="52"/>
      <c r="F10" s="53"/>
      <c r="G10" s="61"/>
      <c r="H10" s="57"/>
      <c r="I10" s="57" t="s">
        <v>55</v>
      </c>
      <c r="J10" s="53">
        <v>3.0</v>
      </c>
      <c r="K10" s="57"/>
      <c r="L10" s="57" t="s">
        <v>55</v>
      </c>
      <c r="M10" s="53">
        <v>1.0</v>
      </c>
      <c r="N10" s="66"/>
      <c r="O10" s="66"/>
      <c r="P10" s="83">
        <f>SUM(P8:P9)</f>
        <v>4</v>
      </c>
    </row>
    <row r="11" ht="15.0" customHeight="1">
      <c r="A11" s="14"/>
      <c r="B11" s="18"/>
      <c r="C11" s="50"/>
      <c r="D11" s="51"/>
      <c r="E11" s="52"/>
      <c r="F11" s="53"/>
      <c r="G11" s="61"/>
      <c r="H11" s="57"/>
      <c r="I11" s="57" t="s">
        <v>70</v>
      </c>
      <c r="J11" s="53">
        <v>1.0</v>
      </c>
      <c r="K11" s="57"/>
      <c r="L11" s="57" t="s">
        <v>70</v>
      </c>
      <c r="M11" s="53">
        <v>3.0</v>
      </c>
      <c r="N11" s="57" t="s">
        <v>49</v>
      </c>
      <c r="O11" s="66"/>
      <c r="P11" s="85">
        <v>2.0</v>
      </c>
    </row>
    <row r="12" ht="15.0" customHeight="1">
      <c r="A12" s="14"/>
      <c r="B12" s="18"/>
      <c r="C12" s="50"/>
      <c r="D12" s="51"/>
      <c r="E12" s="52"/>
      <c r="F12" s="53"/>
      <c r="G12" s="61"/>
      <c r="H12" s="57"/>
      <c r="I12" s="57"/>
      <c r="J12" s="83">
        <f>SUM(J8:J11)</f>
        <v>6</v>
      </c>
      <c r="K12" s="57"/>
      <c r="L12" s="57"/>
      <c r="M12" s="83">
        <f>SUM(M9:M11)</f>
        <v>4</v>
      </c>
      <c r="N12" s="57" t="s">
        <v>80</v>
      </c>
      <c r="O12" s="57"/>
      <c r="P12" s="53">
        <v>1.0</v>
      </c>
    </row>
    <row r="13" ht="15.0" customHeight="1">
      <c r="A13" s="14"/>
      <c r="B13" s="18"/>
      <c r="C13" s="50"/>
      <c r="D13" s="51"/>
      <c r="E13" s="52"/>
      <c r="F13" s="53"/>
      <c r="G13" s="61"/>
      <c r="H13" s="57" t="s">
        <v>51</v>
      </c>
      <c r="I13" s="57"/>
      <c r="J13" s="53">
        <v>0.0</v>
      </c>
      <c r="K13" s="57" t="s">
        <v>51</v>
      </c>
      <c r="L13" s="57"/>
      <c r="M13" s="53">
        <v>2.0</v>
      </c>
      <c r="N13" s="66" t="s">
        <v>52</v>
      </c>
      <c r="O13" s="57"/>
      <c r="P13" s="53">
        <v>2.0</v>
      </c>
    </row>
    <row r="14" ht="15.0" customHeight="1">
      <c r="A14" s="14"/>
      <c r="B14" s="18"/>
      <c r="C14" s="50"/>
      <c r="D14" s="51"/>
      <c r="E14" s="52"/>
      <c r="F14" s="53"/>
      <c r="G14" s="61"/>
      <c r="H14" s="57" t="s">
        <v>55</v>
      </c>
      <c r="I14" s="57"/>
      <c r="J14" s="53">
        <v>1.0</v>
      </c>
      <c r="K14" s="57" t="s">
        <v>55</v>
      </c>
      <c r="L14" s="57"/>
      <c r="M14" s="53">
        <v>3.0</v>
      </c>
      <c r="N14" s="57"/>
      <c r="O14" s="57" t="s">
        <v>47</v>
      </c>
      <c r="P14" s="83">
        <f>SUM(P12:P13)</f>
        <v>3</v>
      </c>
    </row>
    <row r="15" ht="15.0" customHeight="1">
      <c r="A15" s="14"/>
      <c r="B15" s="18"/>
      <c r="C15" s="50"/>
      <c r="D15" s="51"/>
      <c r="E15" s="52"/>
      <c r="F15" s="53"/>
      <c r="G15" s="61"/>
      <c r="H15" s="57" t="s">
        <v>70</v>
      </c>
      <c r="I15" s="57"/>
      <c r="J15" s="53">
        <v>3.0</v>
      </c>
      <c r="K15" s="57" t="s">
        <v>70</v>
      </c>
      <c r="L15" s="57"/>
      <c r="M15" s="53">
        <v>1.0</v>
      </c>
      <c r="N15" s="57"/>
      <c r="O15" s="57"/>
      <c r="P15" s="53"/>
    </row>
    <row r="16" ht="15.0" customHeight="1">
      <c r="A16" s="14"/>
      <c r="B16" s="18"/>
      <c r="C16" s="50"/>
      <c r="D16" s="51"/>
      <c r="E16" s="52"/>
      <c r="F16" s="53"/>
      <c r="G16" s="61"/>
      <c r="H16" s="57"/>
      <c r="I16" s="57" t="s">
        <v>48</v>
      </c>
      <c r="J16" s="83">
        <f>SUM(J13:J15)</f>
        <v>4</v>
      </c>
      <c r="K16" s="57"/>
      <c r="L16" s="57" t="s">
        <v>48</v>
      </c>
      <c r="M16" s="83">
        <f>SUM(M13:M15)</f>
        <v>6</v>
      </c>
      <c r="N16" s="57"/>
      <c r="O16" s="57"/>
      <c r="P16" s="53"/>
    </row>
    <row r="17" ht="15.0" customHeight="1">
      <c r="A17" s="14"/>
      <c r="B17" s="18"/>
      <c r="C17" s="50"/>
      <c r="D17" s="51"/>
      <c r="E17" s="52"/>
      <c r="F17" s="53"/>
      <c r="G17" s="61"/>
      <c r="H17" s="57" t="s">
        <v>48</v>
      </c>
      <c r="I17" s="57" t="s">
        <v>47</v>
      </c>
      <c r="J17" s="53">
        <v>0.0</v>
      </c>
      <c r="K17" s="57" t="s">
        <v>48</v>
      </c>
      <c r="L17" s="57" t="s">
        <v>47</v>
      </c>
      <c r="M17" s="53">
        <v>0.0</v>
      </c>
      <c r="N17" s="57"/>
      <c r="O17" s="57"/>
      <c r="P17" s="53"/>
    </row>
    <row r="18" ht="15.0" customHeight="1">
      <c r="A18" s="14"/>
      <c r="B18" s="18"/>
      <c r="C18" s="50"/>
      <c r="D18" s="51"/>
      <c r="E18" s="52"/>
      <c r="F18" s="53"/>
      <c r="G18" s="61"/>
      <c r="H18" s="57"/>
      <c r="I18" s="57"/>
      <c r="J18" s="53"/>
      <c r="K18" s="57"/>
      <c r="L18" s="57"/>
      <c r="M18" s="53"/>
      <c r="N18" s="57"/>
      <c r="O18" s="57"/>
      <c r="P18" s="53"/>
    </row>
    <row r="19" ht="15.0" customHeight="1">
      <c r="A19" s="14"/>
      <c r="H19" s="14"/>
      <c r="I19" s="14"/>
      <c r="K19" s="14"/>
      <c r="L19" s="14"/>
      <c r="N19" s="14"/>
      <c r="O19" s="14"/>
    </row>
    <row r="20" ht="15.0" customHeight="1">
      <c r="A20" s="14"/>
      <c r="H20" s="90">
        <v>0.19444444444444445</v>
      </c>
      <c r="I20" s="93">
        <v>0.3611111111111111</v>
      </c>
      <c r="K20" s="90">
        <v>0.6944444444444444</v>
      </c>
      <c r="L20" s="93">
        <v>0.875</v>
      </c>
      <c r="N20" s="90">
        <v>0.875</v>
      </c>
      <c r="O20" s="93">
        <v>0.9513888888888888</v>
      </c>
      <c r="P20" s="14" t="s">
        <v>89</v>
      </c>
      <c r="AA20" s="96" t="s">
        <v>83</v>
      </c>
    </row>
    <row r="21" ht="15.0" customHeight="1">
      <c r="A21" s="14"/>
      <c r="B21" s="99" t="s">
        <v>86</v>
      </c>
      <c r="I21" s="104">
        <f>I20-H20</f>
        <v>0.1666666667</v>
      </c>
      <c r="L21" s="104">
        <f>L20-K20</f>
        <v>0.1805555556</v>
      </c>
      <c r="O21" s="104">
        <f>O20-N20</f>
        <v>0.07638888889</v>
      </c>
      <c r="P21" s="121">
        <f>SUM(I21, L21, O21)</f>
        <v>0.4236111111</v>
      </c>
      <c r="AA21" s="120">
        <f>IF(I21&gt;=1, I21/24, I21) + IF(L21&gt;=1, L21/24, L21) + IF(O21&gt;=1, O21/24, O21) + IF(R21&gt;=1, R21/24, R21) + IF(V21&gt;=1, V21/24, V21) + IF(Y21&gt;=1, Y21/24, Y21)</f>
        <v>0.4236111111</v>
      </c>
    </row>
    <row r="22" ht="15.75" customHeight="1"/>
    <row r="23" ht="15.75" customHeight="1"/>
    <row r="24" ht="15.0" customHeight="1">
      <c r="A24" s="14"/>
      <c r="B24" s="24" t="s">
        <v>15</v>
      </c>
      <c r="C24" s="26"/>
      <c r="D24" s="28" t="s">
        <v>19</v>
      </c>
      <c r="E24" s="24" t="s">
        <v>20</v>
      </c>
      <c r="F24" s="30"/>
      <c r="G24" s="24" t="s">
        <v>23</v>
      </c>
      <c r="H24" s="34" t="s">
        <v>24</v>
      </c>
      <c r="I24" s="36"/>
      <c r="J24" s="37"/>
      <c r="K24" s="34" t="s">
        <v>31</v>
      </c>
      <c r="L24" s="36"/>
      <c r="M24" s="37"/>
      <c r="N24" s="44" t="s">
        <v>34</v>
      </c>
      <c r="O24" s="36"/>
      <c r="P24" s="37"/>
      <c r="Q24" s="44" t="s">
        <v>39</v>
      </c>
      <c r="R24" s="36"/>
      <c r="S24" s="36"/>
      <c r="T24" s="37"/>
      <c r="U24" s="44" t="s">
        <v>42</v>
      </c>
      <c r="V24" s="36"/>
      <c r="W24" s="37"/>
      <c r="X24" s="44" t="s">
        <v>44</v>
      </c>
      <c r="Y24" s="36"/>
      <c r="Z24" s="37"/>
      <c r="AA24" s="44" t="s">
        <v>90</v>
      </c>
      <c r="AB24" s="36"/>
      <c r="AC24" s="36"/>
      <c r="AD24" s="37"/>
    </row>
    <row r="25" ht="15.0" customHeight="1">
      <c r="A25" s="14"/>
      <c r="B25" s="35"/>
      <c r="C25" s="33" t="s">
        <v>28</v>
      </c>
      <c r="D25" s="35"/>
      <c r="E25" s="35"/>
      <c r="F25" s="38" t="s">
        <v>30</v>
      </c>
      <c r="G25" s="35"/>
      <c r="H25" s="49" t="s">
        <v>32</v>
      </c>
      <c r="I25" s="49" t="s">
        <v>36</v>
      </c>
      <c r="J25" s="49" t="s">
        <v>35</v>
      </c>
      <c r="K25" s="49" t="s">
        <v>32</v>
      </c>
      <c r="L25" s="49" t="s">
        <v>36</v>
      </c>
      <c r="M25" s="49" t="s">
        <v>35</v>
      </c>
      <c r="N25" s="49" t="s">
        <v>32</v>
      </c>
      <c r="O25" s="49" t="s">
        <v>36</v>
      </c>
      <c r="P25" s="49" t="s">
        <v>35</v>
      </c>
      <c r="Q25" s="49" t="s">
        <v>32</v>
      </c>
      <c r="R25" s="49" t="s">
        <v>36</v>
      </c>
      <c r="S25" s="38" t="s">
        <v>33</v>
      </c>
      <c r="T25" s="49" t="s">
        <v>35</v>
      </c>
      <c r="U25" s="49" t="s">
        <v>32</v>
      </c>
      <c r="V25" s="49" t="s">
        <v>36</v>
      </c>
      <c r="W25" s="49" t="s">
        <v>35</v>
      </c>
      <c r="X25" s="49" t="s">
        <v>32</v>
      </c>
      <c r="Y25" s="49" t="s">
        <v>36</v>
      </c>
      <c r="Z25" s="49" t="s">
        <v>35</v>
      </c>
      <c r="AA25" s="49" t="s">
        <v>32</v>
      </c>
      <c r="AB25" s="49" t="s">
        <v>36</v>
      </c>
      <c r="AC25" s="38" t="s">
        <v>33</v>
      </c>
      <c r="AD25" s="49" t="s">
        <v>35</v>
      </c>
    </row>
    <row r="26" ht="15.0" customHeight="1">
      <c r="A26" s="14"/>
      <c r="B26" s="18" t="s">
        <v>18</v>
      </c>
      <c r="C26" s="50" t="s">
        <v>37</v>
      </c>
      <c r="D26" s="51" t="s">
        <v>92</v>
      </c>
      <c r="E26" s="52">
        <v>48233.0</v>
      </c>
      <c r="F26" s="53" t="s">
        <v>12</v>
      </c>
      <c r="G26" s="61" t="s">
        <v>8</v>
      </c>
      <c r="H26" s="57" t="s">
        <v>47</v>
      </c>
      <c r="I26" s="57" t="s">
        <v>48</v>
      </c>
      <c r="J26" s="53">
        <v>0.0</v>
      </c>
      <c r="K26" s="57" t="s">
        <v>48</v>
      </c>
      <c r="L26" s="57" t="s">
        <v>99</v>
      </c>
      <c r="M26" s="53">
        <v>1.0</v>
      </c>
      <c r="N26" s="57" t="s">
        <v>48</v>
      </c>
      <c r="O26" s="57" t="s">
        <v>100</v>
      </c>
      <c r="P26" s="53">
        <v>2.0</v>
      </c>
      <c r="Q26" s="57" t="s">
        <v>47</v>
      </c>
      <c r="R26" s="57" t="s">
        <v>101</v>
      </c>
      <c r="S26" s="53" t="s">
        <v>102</v>
      </c>
      <c r="T26" s="53">
        <v>1.0</v>
      </c>
      <c r="U26" s="57" t="s">
        <v>47</v>
      </c>
      <c r="V26" s="57" t="s">
        <v>48</v>
      </c>
      <c r="W26" s="53">
        <v>0.0</v>
      </c>
      <c r="X26" s="57" t="s">
        <v>48</v>
      </c>
      <c r="Y26" s="57" t="s">
        <v>99</v>
      </c>
      <c r="Z26" s="53">
        <v>0.0</v>
      </c>
      <c r="AA26" s="57" t="s">
        <v>47</v>
      </c>
      <c r="AB26" s="57"/>
      <c r="AC26" s="53"/>
      <c r="AD26" s="53">
        <v>0.0</v>
      </c>
    </row>
    <row r="27" ht="15.0" customHeight="1">
      <c r="A27" s="14"/>
      <c r="B27" s="18"/>
      <c r="C27" s="50"/>
      <c r="D27" s="51"/>
      <c r="E27" s="52"/>
      <c r="F27" s="53"/>
      <c r="G27" s="61"/>
      <c r="H27" s="57" t="s">
        <v>48</v>
      </c>
      <c r="I27" s="57" t="s">
        <v>103</v>
      </c>
      <c r="J27" s="53">
        <v>3.0</v>
      </c>
      <c r="K27" s="57"/>
      <c r="L27" s="57" t="s">
        <v>104</v>
      </c>
      <c r="M27" s="53">
        <v>1.0</v>
      </c>
      <c r="N27" s="57"/>
      <c r="O27" s="57" t="s">
        <v>105</v>
      </c>
      <c r="P27" s="53">
        <v>1.0</v>
      </c>
      <c r="T27" s="126">
        <v>1.0</v>
      </c>
      <c r="U27" s="57" t="s">
        <v>48</v>
      </c>
      <c r="V27" s="57" t="s">
        <v>103</v>
      </c>
      <c r="W27" s="53">
        <v>2.0</v>
      </c>
      <c r="X27" s="57"/>
      <c r="Y27" s="57" t="s">
        <v>104</v>
      </c>
      <c r="Z27" s="53">
        <v>0.0</v>
      </c>
      <c r="AA27" s="57" t="s">
        <v>106</v>
      </c>
      <c r="AB27" s="57"/>
      <c r="AC27" s="57"/>
      <c r="AD27" s="53">
        <v>4.0</v>
      </c>
    </row>
    <row r="28" ht="15.0" customHeight="1">
      <c r="A28" s="14"/>
      <c r="B28" s="18"/>
      <c r="C28" s="50"/>
      <c r="D28" s="51"/>
      <c r="E28" s="52"/>
      <c r="F28" s="53"/>
      <c r="G28" s="61"/>
      <c r="H28" s="57"/>
      <c r="I28" s="57" t="s">
        <v>107</v>
      </c>
      <c r="J28" s="53">
        <v>1.0</v>
      </c>
      <c r="K28" s="57"/>
      <c r="L28" s="57" t="s">
        <v>108</v>
      </c>
      <c r="M28" s="53">
        <v>1.0</v>
      </c>
      <c r="N28" s="57"/>
      <c r="O28" s="57"/>
      <c r="P28" s="83">
        <f>SUM(P26:P27)</f>
        <v>3</v>
      </c>
      <c r="Q28" s="57" t="s">
        <v>101</v>
      </c>
      <c r="R28" s="57" t="s">
        <v>47</v>
      </c>
      <c r="S28" s="57" t="s">
        <v>109</v>
      </c>
      <c r="T28" s="53">
        <v>1.0</v>
      </c>
      <c r="U28" s="57"/>
      <c r="V28" s="57" t="s">
        <v>107</v>
      </c>
      <c r="W28" s="53">
        <v>1.0</v>
      </c>
      <c r="X28" s="57"/>
      <c r="Y28" s="57" t="s">
        <v>108</v>
      </c>
      <c r="Z28" s="53">
        <v>1.0</v>
      </c>
      <c r="AA28" s="57"/>
      <c r="AB28" s="57"/>
      <c r="AC28" s="53"/>
      <c r="AD28" s="83">
        <v>4.0</v>
      </c>
    </row>
    <row r="29" ht="15.0" customHeight="1">
      <c r="A29" s="14"/>
      <c r="B29" s="18"/>
      <c r="C29" s="50"/>
      <c r="D29" s="51"/>
      <c r="E29" s="52"/>
      <c r="F29" s="53"/>
      <c r="G29" s="61"/>
      <c r="H29" s="57"/>
      <c r="I29" s="57" t="s">
        <v>110</v>
      </c>
      <c r="J29" s="53">
        <v>0.0</v>
      </c>
      <c r="K29" s="57"/>
      <c r="M29" s="83">
        <f>SUM(M26:M28)</f>
        <v>3</v>
      </c>
      <c r="N29" s="57"/>
      <c r="O29" s="57"/>
      <c r="P29" s="53"/>
      <c r="Q29" s="57"/>
      <c r="R29" s="57"/>
      <c r="S29" s="53"/>
      <c r="T29" s="83">
        <v>1.0</v>
      </c>
      <c r="U29" s="57"/>
      <c r="V29" s="57" t="s">
        <v>110</v>
      </c>
      <c r="W29" s="53">
        <v>1.0</v>
      </c>
      <c r="X29" s="57"/>
      <c r="Z29" s="83">
        <f>SUM(Z26:Z28)</f>
        <v>1</v>
      </c>
      <c r="AA29" s="57"/>
      <c r="AB29" s="57"/>
      <c r="AC29" s="53"/>
      <c r="AD29" s="53"/>
    </row>
    <row r="30" ht="15.0" customHeight="1">
      <c r="A30" s="14"/>
      <c r="B30" s="18"/>
      <c r="C30" s="50"/>
      <c r="D30" s="51"/>
      <c r="E30" s="52"/>
      <c r="F30" s="53"/>
      <c r="G30" s="61"/>
      <c r="H30" s="57"/>
      <c r="I30" s="57" t="s">
        <v>111</v>
      </c>
      <c r="J30" s="53">
        <v>1.0</v>
      </c>
      <c r="K30" s="57" t="s">
        <v>99</v>
      </c>
      <c r="L30" s="57"/>
      <c r="M30" s="53">
        <v>0.0</v>
      </c>
      <c r="N30" s="57"/>
      <c r="O30" s="57" t="s">
        <v>47</v>
      </c>
      <c r="P30" s="53">
        <v>0.0</v>
      </c>
      <c r="Q30" s="57"/>
      <c r="R30" s="57"/>
      <c r="S30" s="53"/>
      <c r="T30" s="53"/>
      <c r="U30" s="57"/>
      <c r="V30" s="57" t="s">
        <v>111</v>
      </c>
      <c r="W30" s="53">
        <v>0.0</v>
      </c>
      <c r="X30" s="57" t="s">
        <v>99</v>
      </c>
      <c r="Y30" s="57"/>
      <c r="Z30" s="53">
        <v>1.0</v>
      </c>
      <c r="AA30" s="57"/>
      <c r="AB30" s="57"/>
      <c r="AC30" s="53"/>
      <c r="AD30" s="53"/>
    </row>
    <row r="31" ht="15.0" customHeight="1">
      <c r="A31" s="14"/>
      <c r="B31" s="18"/>
      <c r="C31" s="50"/>
      <c r="D31" s="51"/>
      <c r="E31" s="52"/>
      <c r="F31" s="53"/>
      <c r="G31" s="61"/>
      <c r="I31" s="57"/>
      <c r="J31" s="83">
        <f>SUM(J27:J30)</f>
        <v>5</v>
      </c>
      <c r="K31" s="57" t="s">
        <v>104</v>
      </c>
      <c r="L31" s="57"/>
      <c r="M31" s="53">
        <v>0.0</v>
      </c>
      <c r="N31" s="57"/>
      <c r="O31" s="57"/>
      <c r="P31" s="53"/>
      <c r="Q31" s="57"/>
      <c r="R31" s="57"/>
      <c r="S31" s="53"/>
      <c r="T31" s="53"/>
      <c r="V31" s="57"/>
      <c r="W31" s="83">
        <f>SUM(W27:W30)</f>
        <v>4</v>
      </c>
      <c r="X31" s="57" t="s">
        <v>104</v>
      </c>
      <c r="Y31" s="57"/>
      <c r="Z31" s="53">
        <v>1.0</v>
      </c>
      <c r="AA31" s="57"/>
      <c r="AB31" s="57"/>
      <c r="AC31" s="53"/>
      <c r="AD31" s="53"/>
    </row>
    <row r="32" ht="15.0" customHeight="1">
      <c r="A32" s="14"/>
      <c r="B32" s="18"/>
      <c r="C32" s="50"/>
      <c r="D32" s="51"/>
      <c r="E32" s="52"/>
      <c r="F32" s="53"/>
      <c r="G32" s="61"/>
      <c r="H32" s="57" t="s">
        <v>103</v>
      </c>
      <c r="I32" s="57"/>
      <c r="J32" s="53">
        <v>2.0</v>
      </c>
      <c r="K32" s="57" t="s">
        <v>108</v>
      </c>
      <c r="L32" s="57"/>
      <c r="M32" s="53">
        <v>1.0</v>
      </c>
      <c r="N32" s="57"/>
      <c r="O32" s="57"/>
      <c r="P32" s="53"/>
      <c r="Q32" s="57"/>
      <c r="R32" s="57"/>
      <c r="S32" s="53"/>
      <c r="T32" s="53"/>
      <c r="U32" s="57" t="s">
        <v>103</v>
      </c>
      <c r="V32" s="57"/>
      <c r="W32" s="53">
        <v>3.0</v>
      </c>
      <c r="X32" s="57" t="s">
        <v>108</v>
      </c>
      <c r="Y32" s="57"/>
      <c r="Z32" s="53">
        <v>1.0</v>
      </c>
      <c r="AA32" s="57"/>
      <c r="AB32" s="57"/>
      <c r="AC32" s="53"/>
      <c r="AD32" s="53"/>
    </row>
    <row r="33" ht="15.0" customHeight="1">
      <c r="A33" s="14"/>
      <c r="B33" s="18"/>
      <c r="C33" s="50"/>
      <c r="D33" s="51"/>
      <c r="E33" s="52"/>
      <c r="F33" s="53"/>
      <c r="G33" s="61"/>
      <c r="H33" s="57" t="s">
        <v>107</v>
      </c>
      <c r="I33" s="57"/>
      <c r="J33" s="53">
        <v>1.0</v>
      </c>
      <c r="K33" s="57"/>
      <c r="L33" s="57" t="s">
        <v>48</v>
      </c>
      <c r="M33" s="83">
        <f>SUM(M30:M32)</f>
        <v>1</v>
      </c>
      <c r="N33" s="57"/>
      <c r="O33" s="57"/>
      <c r="P33" s="53"/>
      <c r="Q33" s="57"/>
      <c r="R33" s="57"/>
      <c r="S33" s="53"/>
      <c r="T33" s="53"/>
      <c r="U33" s="57" t="s">
        <v>107</v>
      </c>
      <c r="V33" s="57"/>
      <c r="W33" s="53">
        <v>1.0</v>
      </c>
      <c r="X33" s="57"/>
      <c r="Y33" s="57" t="s">
        <v>48</v>
      </c>
      <c r="Z33" s="83">
        <f>SUM(Z30:Z32)</f>
        <v>3</v>
      </c>
      <c r="AA33" s="57"/>
      <c r="AB33" s="57"/>
      <c r="AC33" s="53"/>
      <c r="AD33" s="53"/>
    </row>
    <row r="34" ht="15.0" customHeight="1">
      <c r="A34" s="14"/>
      <c r="B34" s="18"/>
      <c r="C34" s="50"/>
      <c r="D34" s="51"/>
      <c r="E34" s="52"/>
      <c r="F34" s="53"/>
      <c r="G34" s="61"/>
      <c r="H34" s="57" t="s">
        <v>110</v>
      </c>
      <c r="I34" s="57"/>
      <c r="J34" s="53">
        <v>1.0</v>
      </c>
      <c r="K34" s="57"/>
      <c r="L34" s="57"/>
      <c r="M34" s="53"/>
      <c r="N34" s="57"/>
      <c r="O34" s="57"/>
      <c r="P34" s="53"/>
      <c r="Q34" s="57"/>
      <c r="R34" s="57"/>
      <c r="S34" s="53"/>
      <c r="T34" s="53"/>
      <c r="U34" s="57" t="s">
        <v>110</v>
      </c>
      <c r="V34" s="57"/>
      <c r="W34" s="53">
        <v>0.0</v>
      </c>
      <c r="X34" s="57" t="s">
        <v>47</v>
      </c>
      <c r="Y34" s="57"/>
      <c r="Z34" s="53">
        <v>0.0</v>
      </c>
      <c r="AA34" s="57"/>
      <c r="AB34" s="57"/>
      <c r="AC34" s="53"/>
      <c r="AD34" s="53"/>
    </row>
    <row r="35" ht="15.0" customHeight="1">
      <c r="A35" s="14"/>
      <c r="B35" s="18"/>
      <c r="C35" s="50"/>
      <c r="D35" s="51"/>
      <c r="E35" s="52"/>
      <c r="F35" s="53"/>
      <c r="G35" s="61"/>
      <c r="H35" s="57" t="s">
        <v>111</v>
      </c>
      <c r="I35" s="57"/>
      <c r="J35" s="53">
        <v>0.0</v>
      </c>
      <c r="K35" s="57"/>
      <c r="L35" s="57"/>
      <c r="M35" s="53"/>
      <c r="N35" s="57"/>
      <c r="O35" s="57"/>
      <c r="P35" s="53"/>
      <c r="Q35" s="57"/>
      <c r="R35" s="57"/>
      <c r="S35" s="53"/>
      <c r="T35" s="53"/>
      <c r="U35" s="57" t="s">
        <v>111</v>
      </c>
      <c r="V35" s="57"/>
      <c r="W35" s="53">
        <v>1.0</v>
      </c>
      <c r="X35" s="57"/>
      <c r="Y35" s="57"/>
      <c r="Z35" s="53"/>
      <c r="AA35" s="57"/>
      <c r="AB35" s="57"/>
      <c r="AC35" s="53"/>
      <c r="AD35" s="53"/>
    </row>
    <row r="36" ht="15.0" customHeight="1">
      <c r="A36" s="14"/>
      <c r="B36" s="18"/>
      <c r="C36" s="50"/>
      <c r="D36" s="51"/>
      <c r="E36" s="52"/>
      <c r="F36" s="53"/>
      <c r="G36" s="61"/>
      <c r="H36" s="57"/>
      <c r="I36" s="57" t="s">
        <v>48</v>
      </c>
      <c r="J36" s="83">
        <f>SUM(J32:J35)</f>
        <v>4</v>
      </c>
      <c r="K36" s="57"/>
      <c r="L36" s="57"/>
      <c r="M36" s="53"/>
      <c r="N36" s="57"/>
      <c r="O36" s="57"/>
      <c r="P36" s="53"/>
      <c r="Q36" s="57"/>
      <c r="R36" s="57"/>
      <c r="S36" s="53"/>
      <c r="T36" s="53"/>
      <c r="U36" s="57"/>
      <c r="V36" s="57" t="s">
        <v>48</v>
      </c>
      <c r="W36" s="83">
        <f>SUM(W32:W35)</f>
        <v>5</v>
      </c>
      <c r="X36" s="57"/>
      <c r="Y36" s="57"/>
      <c r="Z36" s="53"/>
      <c r="AA36" s="57"/>
      <c r="AB36" s="57"/>
      <c r="AC36" s="53"/>
      <c r="AD36" s="53"/>
    </row>
    <row r="37" ht="15.0" customHeight="1">
      <c r="A37" s="14"/>
      <c r="B37" s="18"/>
      <c r="C37" s="50"/>
      <c r="D37" s="51"/>
      <c r="E37" s="52"/>
      <c r="F37" s="53"/>
      <c r="G37" s="61"/>
      <c r="H37" s="57"/>
      <c r="I37" s="57"/>
      <c r="J37" s="53"/>
      <c r="K37" s="57"/>
      <c r="L37" s="57"/>
      <c r="M37" s="53"/>
      <c r="N37" s="57"/>
      <c r="O37" s="57"/>
      <c r="P37" s="53"/>
      <c r="Q37" s="57"/>
      <c r="R37" s="57"/>
      <c r="S37" s="53"/>
      <c r="T37" s="53"/>
      <c r="U37" s="57"/>
      <c r="V37" s="57"/>
      <c r="W37" s="53"/>
      <c r="X37" s="57"/>
      <c r="Y37" s="57"/>
      <c r="Z37" s="53"/>
      <c r="AA37" s="57"/>
      <c r="AB37" s="57"/>
      <c r="AC37" s="53"/>
      <c r="AD37" s="53"/>
    </row>
    <row r="38" ht="15.0" customHeight="1">
      <c r="A38" s="14"/>
      <c r="B38" s="87"/>
      <c r="C38" s="88"/>
      <c r="D38" s="14"/>
      <c r="E38" s="14"/>
      <c r="F38" s="14"/>
      <c r="G38" s="87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ht="15.0" customHeight="1">
      <c r="A39" s="14"/>
      <c r="H39" s="14"/>
      <c r="I39" s="14"/>
      <c r="K39" s="14"/>
      <c r="L39" s="14"/>
      <c r="N39" s="14"/>
      <c r="O39" s="14"/>
      <c r="Q39" s="14"/>
      <c r="R39" s="14"/>
      <c r="AE39" s="96"/>
    </row>
    <row r="40" ht="15.0" customHeight="1">
      <c r="A40" s="14"/>
      <c r="H40" s="90">
        <v>0.19444444444444445</v>
      </c>
      <c r="I40" s="93">
        <v>0.34375</v>
      </c>
      <c r="K40" s="90">
        <v>0.3541666666666667</v>
      </c>
      <c r="L40" s="93">
        <v>0.4791666666666667</v>
      </c>
      <c r="N40" s="90">
        <v>0.5104166666666666</v>
      </c>
      <c r="O40" s="93">
        <v>0.5763888888888888</v>
      </c>
      <c r="Q40" s="90">
        <v>0.6041666666666666</v>
      </c>
      <c r="R40" s="93">
        <v>0.6597222222222222</v>
      </c>
      <c r="U40" s="90">
        <v>0.6944444444444444</v>
      </c>
      <c r="V40" s="93">
        <v>0.8680555555555556</v>
      </c>
      <c r="X40" s="90">
        <v>0.8819444444444444</v>
      </c>
      <c r="Y40" s="93">
        <v>0.9583333333333334</v>
      </c>
      <c r="AA40" s="90">
        <v>0.9583333333333334</v>
      </c>
      <c r="AB40" s="93">
        <v>0.9930555555555556</v>
      </c>
      <c r="AE40" s="96" t="s">
        <v>83</v>
      </c>
    </row>
    <row r="41" ht="15.75" customHeight="1">
      <c r="I41" s="104">
        <f>I40-H40</f>
        <v>0.1493055556</v>
      </c>
      <c r="L41" s="104">
        <f>L40-K40</f>
        <v>0.125</v>
      </c>
      <c r="O41" s="104">
        <f>O40-N40</f>
        <v>0.06597222222</v>
      </c>
      <c r="R41" s="104">
        <f>R40-Q40</f>
        <v>0.05555555556</v>
      </c>
      <c r="V41" s="104">
        <f>V40-U40</f>
        <v>0.1736111111</v>
      </c>
      <c r="Y41" s="104">
        <f>Y40-X40</f>
        <v>0.07638888889</v>
      </c>
      <c r="AB41" s="104">
        <f>AB40-AA40</f>
        <v>0.03472222222</v>
      </c>
      <c r="AE41" s="149">
        <f>Sum(I41:AD41)</f>
        <v>0.6805555556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6:B7"/>
    <mergeCell ref="D6:D7"/>
    <mergeCell ref="E6:E7"/>
    <mergeCell ref="G6:G7"/>
    <mergeCell ref="H6:J6"/>
    <mergeCell ref="K6:M6"/>
    <mergeCell ref="N6:P6"/>
    <mergeCell ref="Q24:T24"/>
    <mergeCell ref="U24:W24"/>
    <mergeCell ref="X24:Z24"/>
    <mergeCell ref="AA24:AD24"/>
    <mergeCell ref="B24:B25"/>
    <mergeCell ref="D24:D25"/>
    <mergeCell ref="E24:E25"/>
    <mergeCell ref="G24:G25"/>
    <mergeCell ref="H24:J24"/>
    <mergeCell ref="K24:M24"/>
    <mergeCell ref="N24:P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14"/>
    <col customWidth="1" min="3" max="6" width="14.43"/>
    <col customWidth="1" min="8" max="8" width="23.14"/>
    <col customWidth="1" min="9" max="9" width="33.14"/>
    <col customWidth="1" min="12" max="12" width="39.29"/>
    <col customWidth="1" min="13" max="13" width="24.43"/>
    <col customWidth="1" min="15" max="15" width="26.29"/>
    <col customWidth="1" min="18" max="19" width="38.86"/>
  </cols>
  <sheetData>
    <row r="2">
      <c r="B2" s="1" t="s">
        <v>0</v>
      </c>
      <c r="C2" s="3" t="s">
        <v>1</v>
      </c>
      <c r="D2" s="3" t="s">
        <v>2</v>
      </c>
      <c r="E2" s="3" t="s">
        <v>3</v>
      </c>
      <c r="F2" s="3" t="s">
        <v>3</v>
      </c>
      <c r="G2" s="4" t="s">
        <v>4</v>
      </c>
      <c r="H2" s="4" t="s">
        <v>5</v>
      </c>
      <c r="I2" s="4" t="s">
        <v>6</v>
      </c>
      <c r="J2" s="4"/>
      <c r="K2" s="5" t="s">
        <v>6</v>
      </c>
    </row>
    <row r="3">
      <c r="B3" s="6">
        <v>73398.0</v>
      </c>
      <c r="C3" s="7">
        <v>73398.0</v>
      </c>
      <c r="D3" s="9" t="s">
        <v>8</v>
      </c>
      <c r="E3" s="9">
        <v>51965.0</v>
      </c>
      <c r="F3" s="9">
        <v>51965.0</v>
      </c>
      <c r="G3" s="11" t="s">
        <v>9</v>
      </c>
      <c r="H3" s="11" t="s">
        <v>10</v>
      </c>
      <c r="I3" s="11" t="s">
        <v>11</v>
      </c>
      <c r="J3" s="13"/>
      <c r="K3" s="13" t="s">
        <v>12</v>
      </c>
    </row>
    <row r="5" ht="15.0" customHeight="1">
      <c r="A5" s="14"/>
      <c r="B5" s="15" t="s">
        <v>15</v>
      </c>
      <c r="C5" s="16"/>
      <c r="D5" s="17" t="s">
        <v>19</v>
      </c>
      <c r="E5" s="19" t="s">
        <v>20</v>
      </c>
      <c r="F5" s="20"/>
      <c r="G5" s="21" t="s">
        <v>23</v>
      </c>
      <c r="H5" s="22" t="s">
        <v>24</v>
      </c>
      <c r="I5" s="23"/>
      <c r="J5" s="25"/>
      <c r="K5" s="27" t="s">
        <v>25</v>
      </c>
      <c r="L5" s="23"/>
      <c r="M5" s="25"/>
      <c r="N5" s="29" t="s">
        <v>26</v>
      </c>
      <c r="O5" s="23"/>
      <c r="P5" s="25"/>
      <c r="Q5" s="27" t="s">
        <v>27</v>
      </c>
      <c r="R5" s="23"/>
      <c r="S5" s="25"/>
    </row>
    <row r="6" ht="15.0" customHeight="1">
      <c r="A6" s="14"/>
      <c r="B6" s="32"/>
      <c r="C6" s="33" t="s">
        <v>28</v>
      </c>
      <c r="D6" s="35"/>
      <c r="E6" s="35"/>
      <c r="F6" s="38" t="s">
        <v>30</v>
      </c>
      <c r="G6" s="39"/>
      <c r="H6" s="40" t="s">
        <v>32</v>
      </c>
      <c r="I6" s="42" t="s">
        <v>33</v>
      </c>
      <c r="J6" s="43" t="s">
        <v>35</v>
      </c>
      <c r="K6" s="40" t="s">
        <v>32</v>
      </c>
      <c r="L6" s="45" t="s">
        <v>36</v>
      </c>
      <c r="M6" s="43" t="s">
        <v>35</v>
      </c>
      <c r="N6" s="40" t="s">
        <v>32</v>
      </c>
      <c r="O6" s="45" t="s">
        <v>36</v>
      </c>
      <c r="P6" s="43" t="s">
        <v>35</v>
      </c>
      <c r="Q6" s="46" t="s">
        <v>32</v>
      </c>
      <c r="R6" s="45" t="s">
        <v>36</v>
      </c>
      <c r="S6" s="43" t="s">
        <v>35</v>
      </c>
    </row>
    <row r="7" ht="15.0" customHeight="1">
      <c r="A7" s="14"/>
      <c r="B7" s="47" t="s">
        <v>9</v>
      </c>
      <c r="C7" s="50" t="s">
        <v>37</v>
      </c>
      <c r="D7" s="51" t="s">
        <v>38</v>
      </c>
      <c r="E7" s="52">
        <v>73398.0</v>
      </c>
      <c r="F7" s="53" t="s">
        <v>11</v>
      </c>
      <c r="G7" s="55" t="s">
        <v>8</v>
      </c>
      <c r="H7" s="56" t="s">
        <v>40</v>
      </c>
      <c r="I7" s="57" t="s">
        <v>41</v>
      </c>
      <c r="J7" s="58">
        <v>6.0</v>
      </c>
      <c r="K7" s="56" t="s">
        <v>40</v>
      </c>
      <c r="L7" s="59" t="s">
        <v>43</v>
      </c>
      <c r="M7" s="58">
        <v>1.0</v>
      </c>
      <c r="N7" s="56" t="s">
        <v>40</v>
      </c>
      <c r="O7" s="59" t="s">
        <v>45</v>
      </c>
      <c r="P7" s="58">
        <v>6.0</v>
      </c>
      <c r="Q7" s="60" t="s">
        <v>40</v>
      </c>
      <c r="R7" s="59" t="s">
        <v>43</v>
      </c>
      <c r="S7" s="62" t="s">
        <v>46</v>
      </c>
    </row>
    <row r="8" ht="15.0" customHeight="1">
      <c r="A8" s="14"/>
      <c r="B8" s="47"/>
      <c r="C8" s="50"/>
      <c r="D8" s="51"/>
      <c r="E8" s="52"/>
      <c r="F8" s="53"/>
      <c r="G8" s="55"/>
      <c r="H8" s="64"/>
      <c r="I8" s="57"/>
      <c r="J8" s="65">
        <v>6.0</v>
      </c>
      <c r="K8" s="56"/>
      <c r="L8" s="59" t="s">
        <v>50</v>
      </c>
      <c r="M8" s="58">
        <v>1.0</v>
      </c>
      <c r="N8" s="56"/>
      <c r="O8" s="66"/>
      <c r="P8" s="65">
        <v>6.0</v>
      </c>
      <c r="Q8" s="68"/>
      <c r="R8" s="70" t="s">
        <v>50</v>
      </c>
      <c r="S8" s="62" t="s">
        <v>46</v>
      </c>
    </row>
    <row r="9" ht="15.0" customHeight="1">
      <c r="A9" s="14"/>
      <c r="B9" s="47"/>
      <c r="C9" s="50"/>
      <c r="D9" s="51"/>
      <c r="E9" s="52"/>
      <c r="F9" s="53"/>
      <c r="G9" s="55"/>
      <c r="H9" s="72" t="s">
        <v>45</v>
      </c>
      <c r="I9" s="57" t="s">
        <v>53</v>
      </c>
      <c r="J9" s="58">
        <v>7.0</v>
      </c>
      <c r="K9" s="56"/>
      <c r="L9" s="59" t="s">
        <v>54</v>
      </c>
      <c r="M9" s="58">
        <v>0.0</v>
      </c>
      <c r="N9" s="72" t="s">
        <v>45</v>
      </c>
      <c r="O9" s="57" t="s">
        <v>40</v>
      </c>
      <c r="P9" s="58">
        <v>7.0</v>
      </c>
      <c r="Q9" s="75"/>
      <c r="R9" s="70" t="s">
        <v>54</v>
      </c>
      <c r="S9" s="62" t="s">
        <v>57</v>
      </c>
    </row>
    <row r="10" ht="15.0" customHeight="1">
      <c r="A10" s="14"/>
      <c r="B10" s="47"/>
      <c r="C10" s="50"/>
      <c r="D10" s="51"/>
      <c r="E10" s="52"/>
      <c r="F10" s="53"/>
      <c r="G10" s="55"/>
      <c r="H10" s="56"/>
      <c r="I10" s="57"/>
      <c r="J10" s="65">
        <v>7.0</v>
      </c>
      <c r="K10" s="56"/>
      <c r="L10" s="59" t="s">
        <v>58</v>
      </c>
      <c r="M10" s="58">
        <v>1.0</v>
      </c>
      <c r="N10" s="56"/>
      <c r="O10" s="66"/>
      <c r="P10" s="65">
        <v>7.0</v>
      </c>
      <c r="Q10" s="68"/>
      <c r="R10" s="70" t="s">
        <v>58</v>
      </c>
      <c r="S10" s="77" t="s">
        <v>57</v>
      </c>
    </row>
    <row r="11" ht="15.0" customHeight="1">
      <c r="A11" s="14"/>
      <c r="B11" s="47"/>
      <c r="C11" s="50"/>
      <c r="D11" s="51"/>
      <c r="E11" s="52"/>
      <c r="F11" s="53"/>
      <c r="G11" s="55"/>
      <c r="H11" s="56"/>
      <c r="I11" s="57"/>
      <c r="J11" s="58"/>
      <c r="K11" s="56"/>
      <c r="L11" s="59" t="s">
        <v>61</v>
      </c>
      <c r="M11" s="58">
        <v>1.0</v>
      </c>
      <c r="N11" s="56"/>
      <c r="O11" s="59"/>
      <c r="P11" s="58"/>
      <c r="Q11" s="68"/>
      <c r="R11" s="59" t="s">
        <v>61</v>
      </c>
      <c r="S11" s="62" t="s">
        <v>46</v>
      </c>
    </row>
    <row r="12" ht="15.0" customHeight="1">
      <c r="A12" s="14"/>
      <c r="B12" s="47"/>
      <c r="C12" s="50"/>
      <c r="D12" s="51"/>
      <c r="E12" s="52"/>
      <c r="F12" s="53"/>
      <c r="G12" s="55"/>
      <c r="H12" s="56"/>
      <c r="I12" s="57"/>
      <c r="J12" s="58"/>
      <c r="K12" s="56"/>
      <c r="L12" s="59" t="s">
        <v>62</v>
      </c>
      <c r="M12" s="58">
        <v>1.0</v>
      </c>
      <c r="N12" s="64"/>
      <c r="O12" s="57"/>
      <c r="P12" s="58"/>
      <c r="Q12" s="75"/>
      <c r="R12" s="59" t="s">
        <v>62</v>
      </c>
      <c r="S12" s="62" t="s">
        <v>57</v>
      </c>
    </row>
    <row r="13" ht="15.0" customHeight="1">
      <c r="A13" s="14"/>
      <c r="B13" s="47"/>
      <c r="C13" s="50"/>
      <c r="D13" s="51"/>
      <c r="E13" s="52"/>
      <c r="F13" s="53"/>
      <c r="G13" s="55"/>
      <c r="H13" s="56"/>
      <c r="I13" s="57"/>
      <c r="J13" s="58"/>
      <c r="K13" s="56"/>
      <c r="L13" s="59" t="s">
        <v>65</v>
      </c>
      <c r="M13" s="58">
        <v>2.0</v>
      </c>
      <c r="N13" s="56"/>
      <c r="O13" s="57"/>
      <c r="P13" s="58"/>
      <c r="Q13" s="68"/>
      <c r="R13" s="59" t="s">
        <v>65</v>
      </c>
      <c r="S13" s="62" t="s">
        <v>57</v>
      </c>
    </row>
    <row r="14" ht="15.0" customHeight="1">
      <c r="A14" s="14"/>
      <c r="B14" s="47"/>
      <c r="C14" s="50"/>
      <c r="D14" s="51"/>
      <c r="E14" s="52"/>
      <c r="F14" s="53"/>
      <c r="G14" s="55"/>
      <c r="H14" s="56"/>
      <c r="I14" s="57"/>
      <c r="J14" s="58"/>
      <c r="K14" s="56"/>
      <c r="L14" s="57"/>
      <c r="M14" s="65">
        <f>SUM(M7:M13)</f>
        <v>7</v>
      </c>
      <c r="N14" s="56"/>
      <c r="O14" s="57"/>
      <c r="P14" s="58"/>
      <c r="Q14" s="68"/>
      <c r="R14" s="57"/>
      <c r="S14" s="65">
        <v>4.0</v>
      </c>
    </row>
    <row r="15" ht="15.0" customHeight="1">
      <c r="A15" s="14"/>
      <c r="B15" s="47"/>
      <c r="C15" s="50"/>
      <c r="D15" s="51"/>
      <c r="E15" s="52"/>
      <c r="F15" s="53"/>
      <c r="G15" s="55"/>
      <c r="H15" s="56"/>
      <c r="I15" s="57"/>
      <c r="J15" s="58"/>
      <c r="K15" s="72" t="s">
        <v>43</v>
      </c>
      <c r="L15" s="57"/>
      <c r="M15" s="58">
        <v>0.0</v>
      </c>
      <c r="N15" s="56"/>
      <c r="O15" s="57"/>
      <c r="P15" s="58"/>
      <c r="Q15" s="86" t="s">
        <v>43</v>
      </c>
      <c r="R15" s="59"/>
      <c r="S15" s="62">
        <v>1.0</v>
      </c>
    </row>
    <row r="16" ht="15.0" customHeight="1">
      <c r="A16" s="14"/>
      <c r="B16" s="47"/>
      <c r="C16" s="50"/>
      <c r="D16" s="51"/>
      <c r="E16" s="52"/>
      <c r="F16" s="53"/>
      <c r="G16" s="55"/>
      <c r="H16" s="56"/>
      <c r="I16" s="57"/>
      <c r="J16" s="58"/>
      <c r="K16" s="72" t="s">
        <v>50</v>
      </c>
      <c r="L16" s="57"/>
      <c r="M16" s="58">
        <v>0.0</v>
      </c>
      <c r="N16" s="56"/>
      <c r="O16" s="57"/>
      <c r="P16" s="58"/>
      <c r="Q16" s="86" t="s">
        <v>50</v>
      </c>
      <c r="R16" s="59"/>
      <c r="S16" s="62">
        <v>1.0</v>
      </c>
    </row>
    <row r="17" ht="15.0" customHeight="1">
      <c r="A17" s="14"/>
      <c r="B17" s="47"/>
      <c r="C17" s="50"/>
      <c r="D17" s="51"/>
      <c r="E17" s="52"/>
      <c r="F17" s="53"/>
      <c r="G17" s="55"/>
      <c r="H17" s="56"/>
      <c r="I17" s="57"/>
      <c r="J17" s="58"/>
      <c r="K17" s="72" t="s">
        <v>54</v>
      </c>
      <c r="L17" s="57"/>
      <c r="M17" s="58">
        <v>1.0</v>
      </c>
      <c r="N17" s="56"/>
      <c r="O17" s="57"/>
      <c r="P17" s="58"/>
      <c r="Q17" s="86" t="s">
        <v>54</v>
      </c>
      <c r="R17" s="59"/>
      <c r="S17" s="62">
        <v>0.0</v>
      </c>
    </row>
    <row r="18" ht="15.0" customHeight="1">
      <c r="A18" s="14"/>
      <c r="B18" s="47"/>
      <c r="C18" s="50"/>
      <c r="D18" s="51"/>
      <c r="E18" s="52"/>
      <c r="F18" s="53"/>
      <c r="G18" s="55"/>
      <c r="H18" s="56"/>
      <c r="I18" s="57"/>
      <c r="J18" s="58"/>
      <c r="K18" s="72" t="s">
        <v>58</v>
      </c>
      <c r="L18" s="57"/>
      <c r="M18" s="58">
        <v>1.0</v>
      </c>
      <c r="N18" s="56"/>
      <c r="O18" s="57"/>
      <c r="P18" s="58"/>
      <c r="Q18" s="86" t="s">
        <v>58</v>
      </c>
      <c r="R18" s="59"/>
      <c r="S18" s="62" t="s">
        <v>76</v>
      </c>
    </row>
    <row r="19" ht="15.0" customHeight="1">
      <c r="A19" s="14"/>
      <c r="B19" s="47"/>
      <c r="C19" s="50"/>
      <c r="D19" s="51"/>
      <c r="E19" s="52"/>
      <c r="F19" s="53"/>
      <c r="G19" s="55"/>
      <c r="H19" s="56"/>
      <c r="I19" s="57"/>
      <c r="J19" s="58"/>
      <c r="K19" s="72" t="s">
        <v>61</v>
      </c>
      <c r="L19" s="57"/>
      <c r="M19" s="58">
        <v>0.0</v>
      </c>
      <c r="N19" s="56"/>
      <c r="O19" s="57"/>
      <c r="P19" s="58"/>
      <c r="Q19" s="86" t="s">
        <v>61</v>
      </c>
      <c r="R19" s="59"/>
      <c r="S19" s="62" t="s">
        <v>57</v>
      </c>
    </row>
    <row r="20" ht="15.0" customHeight="1">
      <c r="A20" s="14"/>
      <c r="B20" s="47"/>
      <c r="C20" s="50"/>
      <c r="D20" s="51"/>
      <c r="E20" s="52"/>
      <c r="F20" s="53"/>
      <c r="G20" s="55"/>
      <c r="H20" s="56"/>
      <c r="I20" s="57"/>
      <c r="J20" s="58"/>
      <c r="K20" s="72" t="s">
        <v>62</v>
      </c>
      <c r="L20" s="57"/>
      <c r="M20" s="58">
        <v>1.0</v>
      </c>
      <c r="N20" s="56"/>
      <c r="O20" s="57"/>
      <c r="P20" s="58"/>
      <c r="Q20" s="86" t="s">
        <v>62</v>
      </c>
      <c r="R20" s="59"/>
      <c r="S20" s="62">
        <v>1.0</v>
      </c>
    </row>
    <row r="21" ht="15.0" customHeight="1">
      <c r="A21" s="14"/>
      <c r="B21" s="47"/>
      <c r="C21" s="50"/>
      <c r="D21" s="51"/>
      <c r="E21" s="52"/>
      <c r="F21" s="53"/>
      <c r="G21" s="55"/>
      <c r="H21" s="56"/>
      <c r="I21" s="57"/>
      <c r="J21" s="58"/>
      <c r="K21" s="72" t="s">
        <v>65</v>
      </c>
      <c r="L21" s="57"/>
      <c r="M21" s="58">
        <v>0.0</v>
      </c>
      <c r="N21" s="56"/>
      <c r="O21" s="57"/>
      <c r="P21" s="58"/>
      <c r="Q21" s="86" t="s">
        <v>65</v>
      </c>
      <c r="R21" s="59"/>
      <c r="S21" s="62">
        <v>1.0</v>
      </c>
    </row>
    <row r="22" ht="15.0" customHeight="1">
      <c r="A22" s="14"/>
      <c r="B22" s="89"/>
      <c r="C22" s="92"/>
      <c r="D22" s="94"/>
      <c r="E22" s="95"/>
      <c r="F22" s="97"/>
      <c r="G22" s="98"/>
      <c r="H22" s="100"/>
      <c r="I22" s="101"/>
      <c r="J22" s="102"/>
      <c r="K22" s="100"/>
      <c r="L22" s="101" t="s">
        <v>40</v>
      </c>
      <c r="M22" s="103">
        <f>SUM(M15:M21)</f>
        <v>3</v>
      </c>
      <c r="N22" s="100"/>
      <c r="O22" s="101"/>
      <c r="P22" s="102"/>
      <c r="Q22" s="105"/>
      <c r="R22" s="106" t="s">
        <v>40</v>
      </c>
      <c r="S22" s="107">
        <f>SUM(S7:S21)</f>
        <v>8</v>
      </c>
    </row>
    <row r="23" ht="15.0" customHeight="1">
      <c r="A23" s="14"/>
      <c r="B23" s="108"/>
      <c r="C23" s="109"/>
      <c r="D23" s="110"/>
      <c r="E23" s="111"/>
      <c r="F23" s="112"/>
      <c r="G23" s="113"/>
      <c r="H23" s="114"/>
      <c r="I23" s="115"/>
      <c r="J23" s="116"/>
      <c r="K23" s="114"/>
      <c r="L23" s="115"/>
      <c r="M23" s="116"/>
      <c r="N23" s="114"/>
      <c r="O23" s="115"/>
      <c r="P23" s="116"/>
      <c r="Q23" s="117"/>
      <c r="R23" s="118"/>
      <c r="S23" s="116"/>
    </row>
    <row r="24" ht="15.0" customHeight="1">
      <c r="A24" s="14"/>
      <c r="H24" s="14"/>
      <c r="I24" s="14"/>
      <c r="L24" s="14"/>
      <c r="O24" s="14"/>
      <c r="P24" s="14"/>
    </row>
    <row r="25" ht="15.0" customHeight="1">
      <c r="A25" s="14"/>
      <c r="B25" s="99" t="s">
        <v>86</v>
      </c>
      <c r="H25" s="90">
        <v>0.20833333333333334</v>
      </c>
      <c r="I25" s="93">
        <v>0.2916666666666667</v>
      </c>
      <c r="K25" s="90">
        <v>0.7916666666666666</v>
      </c>
      <c r="L25" s="93">
        <v>0.875</v>
      </c>
      <c r="N25" s="90">
        <v>0.7083333333333334</v>
      </c>
      <c r="O25" s="93">
        <v>0.8263888888888888</v>
      </c>
    </row>
    <row r="26" ht="15.0" customHeight="1">
      <c r="A26" s="14"/>
      <c r="I26" s="104">
        <f>I25-H25</f>
        <v>0.08333333333</v>
      </c>
      <c r="L26" s="104">
        <f>L25-K25</f>
        <v>0.08333333333</v>
      </c>
      <c r="O26" s="104">
        <f>O25-N25</f>
        <v>0.1180555556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5:B6"/>
    <mergeCell ref="D5:D6"/>
    <mergeCell ref="E5:E6"/>
    <mergeCell ref="G5:G6"/>
    <mergeCell ref="H5:J5"/>
    <mergeCell ref="K5:M5"/>
    <mergeCell ref="N5:P5"/>
    <mergeCell ref="Q5:S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14"/>
    <col customWidth="1" min="3" max="6" width="14.43"/>
    <col customWidth="1" min="8" max="9" width="23.14"/>
    <col customWidth="1" min="10" max="10" width="33.14"/>
    <col customWidth="1" min="13" max="13" width="27.0"/>
    <col customWidth="1" min="15" max="15" width="27.0"/>
    <col customWidth="1" min="17" max="17" width="26.29"/>
  </cols>
  <sheetData>
    <row r="2">
      <c r="B2" s="2" t="s">
        <v>0</v>
      </c>
      <c r="C2" s="3" t="s">
        <v>1</v>
      </c>
      <c r="D2" s="3" t="s">
        <v>2</v>
      </c>
      <c r="E2" s="3" t="s">
        <v>3</v>
      </c>
      <c r="F2" s="3" t="s">
        <v>3</v>
      </c>
      <c r="G2" s="4" t="s">
        <v>4</v>
      </c>
      <c r="H2" s="4" t="s">
        <v>5</v>
      </c>
      <c r="I2" s="4" t="s">
        <v>7</v>
      </c>
      <c r="J2" s="4" t="s">
        <v>6</v>
      </c>
      <c r="K2" s="4"/>
      <c r="L2" s="5" t="s">
        <v>6</v>
      </c>
    </row>
    <row r="3">
      <c r="B3" s="8">
        <v>15590.0</v>
      </c>
      <c r="C3" s="10">
        <v>15590.0</v>
      </c>
      <c r="D3" s="12" t="s">
        <v>8</v>
      </c>
      <c r="E3" s="12">
        <v>25206.0</v>
      </c>
      <c r="F3" s="12">
        <v>25206.0</v>
      </c>
      <c r="G3" s="13" t="s">
        <v>16</v>
      </c>
      <c r="H3" s="13" t="s">
        <v>10</v>
      </c>
      <c r="I3" s="13" t="s">
        <v>14</v>
      </c>
      <c r="J3" s="13" t="s">
        <v>17</v>
      </c>
      <c r="K3" s="13"/>
      <c r="L3" s="13" t="s">
        <v>12</v>
      </c>
    </row>
    <row r="4">
      <c r="B4" s="6">
        <v>15993.0</v>
      </c>
      <c r="C4" s="7">
        <v>15993.0</v>
      </c>
      <c r="D4" s="9" t="s">
        <v>8</v>
      </c>
      <c r="E4" s="9" t="s">
        <v>21</v>
      </c>
      <c r="F4" s="9" t="s">
        <v>21</v>
      </c>
      <c r="G4" s="11" t="s">
        <v>22</v>
      </c>
      <c r="H4" s="11" t="s">
        <v>10</v>
      </c>
      <c r="I4" s="11" t="s">
        <v>14</v>
      </c>
      <c r="J4" s="11" t="s">
        <v>17</v>
      </c>
      <c r="K4" s="11"/>
      <c r="L4" s="11" t="s">
        <v>12</v>
      </c>
    </row>
    <row r="6" ht="15.0" customHeight="1">
      <c r="A6" s="14"/>
      <c r="B6" s="24" t="s">
        <v>15</v>
      </c>
      <c r="C6" s="28"/>
      <c r="D6" s="28" t="s">
        <v>19</v>
      </c>
      <c r="E6" s="24" t="s">
        <v>20</v>
      </c>
      <c r="F6" s="24"/>
      <c r="G6" s="41" t="s">
        <v>23</v>
      </c>
      <c r="H6" s="22" t="s">
        <v>24</v>
      </c>
      <c r="I6" s="23"/>
      <c r="J6" s="25"/>
      <c r="K6" s="22" t="s">
        <v>31</v>
      </c>
      <c r="L6" s="23"/>
      <c r="M6" s="25"/>
      <c r="N6" s="29" t="s">
        <v>34</v>
      </c>
      <c r="O6" s="23"/>
      <c r="P6" s="25"/>
      <c r="Q6" s="48"/>
    </row>
    <row r="7" ht="15.0" customHeight="1">
      <c r="A7" s="14"/>
      <c r="B7" s="35"/>
      <c r="C7" s="54" t="s">
        <v>28</v>
      </c>
      <c r="D7" s="35"/>
      <c r="E7" s="35"/>
      <c r="F7" s="42" t="s">
        <v>30</v>
      </c>
      <c r="G7" s="39"/>
      <c r="H7" s="46" t="s">
        <v>32</v>
      </c>
      <c r="I7" s="45" t="s">
        <v>36</v>
      </c>
      <c r="J7" s="45" t="s">
        <v>35</v>
      </c>
      <c r="K7" s="45" t="s">
        <v>32</v>
      </c>
      <c r="L7" s="45" t="s">
        <v>36</v>
      </c>
      <c r="M7" s="45" t="s">
        <v>35</v>
      </c>
      <c r="N7" s="63" t="s">
        <v>32</v>
      </c>
      <c r="O7" s="45" t="s">
        <v>36</v>
      </c>
      <c r="P7" s="45" t="s">
        <v>35</v>
      </c>
    </row>
    <row r="8" ht="15.0" customHeight="1">
      <c r="A8" s="14"/>
      <c r="B8" s="67" t="s">
        <v>16</v>
      </c>
      <c r="C8" s="69" t="s">
        <v>37</v>
      </c>
      <c r="D8" s="71"/>
      <c r="E8" s="73">
        <v>15590.0</v>
      </c>
      <c r="F8" s="74" t="s">
        <v>56</v>
      </c>
      <c r="G8" s="76" t="s">
        <v>8</v>
      </c>
      <c r="H8" s="57" t="s">
        <v>59</v>
      </c>
      <c r="I8" s="78" t="s">
        <v>60</v>
      </c>
      <c r="J8" s="79">
        <v>2.0</v>
      </c>
      <c r="K8" s="57" t="s">
        <v>59</v>
      </c>
      <c r="L8" s="78" t="s">
        <v>63</v>
      </c>
      <c r="M8" s="79">
        <v>2.0</v>
      </c>
      <c r="N8" s="80" t="s">
        <v>59</v>
      </c>
      <c r="O8" s="81" t="s">
        <v>67</v>
      </c>
      <c r="P8" s="84">
        <v>1.0</v>
      </c>
    </row>
    <row r="9" ht="15.0" customHeight="1">
      <c r="A9" s="14"/>
      <c r="B9" s="18"/>
      <c r="C9" s="50"/>
      <c r="D9" s="51"/>
      <c r="E9" s="52"/>
      <c r="F9" s="53"/>
      <c r="G9" s="61"/>
      <c r="H9" s="57"/>
      <c r="I9" s="78" t="s">
        <v>72</v>
      </c>
      <c r="J9" s="79">
        <v>1.0</v>
      </c>
      <c r="K9" s="57"/>
      <c r="L9" s="78" t="s">
        <v>73</v>
      </c>
      <c r="M9" s="79">
        <v>1.0</v>
      </c>
      <c r="N9" s="81" t="s">
        <v>67</v>
      </c>
      <c r="O9" s="81" t="s">
        <v>74</v>
      </c>
      <c r="P9" s="84">
        <v>2.0</v>
      </c>
    </row>
    <row r="10" ht="15.0" customHeight="1">
      <c r="A10" s="14"/>
      <c r="B10" s="18"/>
      <c r="C10" s="50"/>
      <c r="D10" s="51"/>
      <c r="E10" s="52"/>
      <c r="F10" s="53"/>
      <c r="G10" s="61"/>
      <c r="H10" s="57"/>
      <c r="I10" s="78" t="s">
        <v>77</v>
      </c>
      <c r="J10" s="79">
        <v>1.0</v>
      </c>
      <c r="K10" s="57"/>
      <c r="L10" s="78" t="s">
        <v>78</v>
      </c>
      <c r="M10" s="79">
        <v>3.0</v>
      </c>
      <c r="N10" s="81" t="s">
        <v>74</v>
      </c>
      <c r="O10" s="80" t="s">
        <v>79</v>
      </c>
      <c r="P10" s="84">
        <v>2.0</v>
      </c>
    </row>
    <row r="11" ht="15.0" customHeight="1">
      <c r="A11" s="14"/>
      <c r="B11" s="18"/>
      <c r="C11" s="50"/>
      <c r="D11" s="51"/>
      <c r="E11" s="52"/>
      <c r="F11" s="53"/>
      <c r="G11" s="61"/>
      <c r="H11" s="57"/>
      <c r="I11" s="78" t="s">
        <v>81</v>
      </c>
      <c r="J11" s="79">
        <v>2.0</v>
      </c>
      <c r="K11" s="57"/>
      <c r="L11" s="78" t="s">
        <v>82</v>
      </c>
      <c r="M11" s="91">
        <v>2.0</v>
      </c>
      <c r="N11" s="80" t="s">
        <v>79</v>
      </c>
      <c r="O11" s="66"/>
      <c r="P11" s="80"/>
    </row>
    <row r="12" ht="15.0" customHeight="1">
      <c r="A12" s="14"/>
      <c r="B12" s="18"/>
      <c r="C12" s="50"/>
      <c r="D12" s="51"/>
      <c r="E12" s="52"/>
      <c r="F12" s="53"/>
      <c r="G12" s="61"/>
      <c r="H12" s="57"/>
      <c r="I12" s="78" t="s">
        <v>84</v>
      </c>
      <c r="J12" s="84">
        <v>1.0</v>
      </c>
      <c r="K12" s="57"/>
      <c r="L12" s="78" t="s">
        <v>85</v>
      </c>
      <c r="M12" s="91">
        <v>1.0</v>
      </c>
      <c r="O12" s="57"/>
      <c r="P12" s="53"/>
    </row>
    <row r="13" ht="15.0" customHeight="1">
      <c r="A13" s="14"/>
      <c r="B13" s="18"/>
      <c r="C13" s="50"/>
      <c r="D13" s="51"/>
      <c r="E13" s="52"/>
      <c r="F13" s="53"/>
      <c r="G13" s="61"/>
      <c r="H13" s="57"/>
      <c r="J13" s="83">
        <f>SUM(J8:J12)</f>
        <v>7</v>
      </c>
      <c r="K13" s="57"/>
      <c r="L13" s="78" t="s">
        <v>87</v>
      </c>
      <c r="M13" s="84">
        <v>2.0</v>
      </c>
      <c r="O13" s="57"/>
      <c r="P13" s="53"/>
    </row>
    <row r="14" ht="15.0" customHeight="1">
      <c r="A14" s="14"/>
      <c r="B14" s="18"/>
      <c r="C14" s="50"/>
      <c r="D14" s="51"/>
      <c r="E14" s="52"/>
      <c r="F14" s="53"/>
      <c r="G14" s="61"/>
      <c r="H14" s="81" t="s">
        <v>60</v>
      </c>
      <c r="I14" s="57"/>
      <c r="J14" s="79">
        <v>1.0</v>
      </c>
      <c r="K14" s="57"/>
      <c r="L14" s="78" t="s">
        <v>88</v>
      </c>
      <c r="M14" s="119">
        <v>1.0</v>
      </c>
      <c r="O14" s="57"/>
      <c r="P14" s="53"/>
    </row>
    <row r="15" ht="15.0" customHeight="1">
      <c r="A15" s="14"/>
      <c r="B15" s="18"/>
      <c r="C15" s="50"/>
      <c r="D15" s="51"/>
      <c r="E15" s="52"/>
      <c r="F15" s="53"/>
      <c r="G15" s="61"/>
      <c r="H15" s="81" t="s">
        <v>72</v>
      </c>
      <c r="I15" s="57"/>
      <c r="J15" s="79">
        <v>0.0</v>
      </c>
      <c r="K15" s="57"/>
      <c r="L15" s="57"/>
      <c r="M15" s="83">
        <f>SUM(M8:M14)</f>
        <v>12</v>
      </c>
      <c r="N15" s="57"/>
      <c r="O15" s="57"/>
      <c r="P15" s="53"/>
    </row>
    <row r="16" ht="15.0" customHeight="1">
      <c r="A16" s="14"/>
      <c r="B16" s="18"/>
      <c r="C16" s="50"/>
      <c r="D16" s="51"/>
      <c r="E16" s="52"/>
      <c r="F16" s="53"/>
      <c r="G16" s="61"/>
      <c r="H16" s="81" t="s">
        <v>77</v>
      </c>
      <c r="I16" s="57"/>
      <c r="J16" s="79">
        <v>0.0</v>
      </c>
      <c r="K16" s="78" t="s">
        <v>63</v>
      </c>
      <c r="L16" s="79"/>
      <c r="M16" s="79">
        <v>2.0</v>
      </c>
      <c r="N16" s="57"/>
      <c r="O16" s="57"/>
      <c r="P16" s="53"/>
    </row>
    <row r="17" ht="15.0" customHeight="1">
      <c r="A17" s="14"/>
      <c r="B17" s="18"/>
      <c r="C17" s="50"/>
      <c r="D17" s="51"/>
      <c r="E17" s="52"/>
      <c r="F17" s="53"/>
      <c r="G17" s="61"/>
      <c r="H17" s="81" t="s">
        <v>81</v>
      </c>
      <c r="I17" s="57"/>
      <c r="J17" s="79">
        <v>1.0</v>
      </c>
      <c r="K17" s="78" t="s">
        <v>73</v>
      </c>
      <c r="L17" s="79"/>
      <c r="M17" s="79">
        <v>1.0</v>
      </c>
      <c r="N17" s="57"/>
      <c r="O17" s="57"/>
      <c r="P17" s="53"/>
    </row>
    <row r="18" ht="15.0" customHeight="1">
      <c r="A18" s="14"/>
      <c r="B18" s="18"/>
      <c r="C18" s="50"/>
      <c r="D18" s="51"/>
      <c r="E18" s="52"/>
      <c r="F18" s="53"/>
      <c r="G18" s="61"/>
      <c r="H18" s="81" t="s">
        <v>84</v>
      </c>
      <c r="I18" s="57"/>
      <c r="J18" s="79">
        <v>1.0</v>
      </c>
      <c r="K18" s="78" t="s">
        <v>78</v>
      </c>
      <c r="L18" s="79"/>
      <c r="M18" s="79">
        <v>3.0</v>
      </c>
      <c r="N18" s="57"/>
      <c r="O18" s="57"/>
      <c r="P18" s="53"/>
    </row>
    <row r="19" ht="15.0" customHeight="1">
      <c r="A19" s="14"/>
      <c r="B19" s="18"/>
      <c r="C19" s="50"/>
      <c r="D19" s="51"/>
      <c r="E19" s="52"/>
      <c r="F19" s="53"/>
      <c r="G19" s="61"/>
      <c r="H19" s="57"/>
      <c r="I19" s="57" t="s">
        <v>59</v>
      </c>
      <c r="J19" s="83">
        <f>SUM(J14:J18)</f>
        <v>3</v>
      </c>
      <c r="K19" s="78" t="s">
        <v>82</v>
      </c>
      <c r="L19" s="91"/>
      <c r="M19" s="91">
        <v>1.0</v>
      </c>
      <c r="N19" s="57"/>
      <c r="O19" s="57"/>
      <c r="P19" s="53"/>
    </row>
    <row r="20" ht="15.0" customHeight="1">
      <c r="A20" s="14"/>
      <c r="B20" s="18"/>
      <c r="C20" s="50"/>
      <c r="D20" s="51"/>
      <c r="E20" s="52"/>
      <c r="F20" s="53"/>
      <c r="G20" s="61"/>
      <c r="H20" s="57"/>
      <c r="I20" s="57"/>
      <c r="J20" s="53"/>
      <c r="K20" s="78" t="s">
        <v>85</v>
      </c>
      <c r="L20" s="91"/>
      <c r="M20" s="91">
        <v>1.0</v>
      </c>
      <c r="N20" s="57"/>
      <c r="O20" s="57"/>
      <c r="P20" s="53"/>
    </row>
    <row r="21" ht="15.0" customHeight="1">
      <c r="A21" s="14"/>
      <c r="B21" s="18"/>
      <c r="C21" s="50"/>
      <c r="D21" s="51"/>
      <c r="E21" s="52"/>
      <c r="F21" s="53"/>
      <c r="G21" s="61"/>
      <c r="H21" s="57"/>
      <c r="I21" s="57"/>
      <c r="J21" s="53"/>
      <c r="K21" s="78" t="s">
        <v>87</v>
      </c>
      <c r="L21" s="84"/>
      <c r="M21" s="84">
        <v>2.0</v>
      </c>
      <c r="N21" s="57"/>
      <c r="O21" s="57"/>
      <c r="P21" s="53"/>
    </row>
    <row r="22" ht="15.0" customHeight="1">
      <c r="A22" s="14"/>
      <c r="B22" s="18"/>
      <c r="C22" s="50"/>
      <c r="D22" s="51"/>
      <c r="E22" s="52"/>
      <c r="F22" s="53"/>
      <c r="G22" s="61"/>
      <c r="H22" s="57"/>
      <c r="I22" s="57"/>
      <c r="J22" s="53"/>
      <c r="K22" s="78" t="s">
        <v>88</v>
      </c>
      <c r="L22" s="66"/>
      <c r="M22" s="119">
        <v>1.0</v>
      </c>
      <c r="N22" s="57"/>
      <c r="O22" s="57"/>
      <c r="P22" s="53"/>
    </row>
    <row r="23" ht="15.0" customHeight="1">
      <c r="A23" s="14"/>
      <c r="B23" s="18"/>
      <c r="C23" s="50"/>
      <c r="D23" s="51"/>
      <c r="E23" s="52"/>
      <c r="F23" s="53"/>
      <c r="G23" s="61"/>
      <c r="H23" s="57"/>
      <c r="I23" s="57"/>
      <c r="J23" s="53"/>
      <c r="K23" s="57"/>
      <c r="L23" s="57" t="s">
        <v>59</v>
      </c>
      <c r="M23" s="83">
        <f>sum(M16:M22)</f>
        <v>11</v>
      </c>
      <c r="N23" s="57"/>
      <c r="O23" s="57"/>
      <c r="P23" s="53"/>
    </row>
    <row r="24" ht="15.0" customHeight="1">
      <c r="A24" s="14"/>
      <c r="B24" s="18"/>
      <c r="C24" s="50"/>
      <c r="D24" s="51"/>
      <c r="E24" s="52"/>
      <c r="F24" s="53"/>
      <c r="G24" s="61"/>
      <c r="H24" s="57"/>
      <c r="I24" s="57"/>
      <c r="J24" s="53"/>
      <c r="K24" s="57"/>
      <c r="L24" s="57"/>
      <c r="M24" s="53"/>
      <c r="N24" s="57"/>
      <c r="O24" s="57"/>
      <c r="P24" s="53"/>
    </row>
    <row r="25" ht="15.0" customHeight="1">
      <c r="A25" s="14"/>
      <c r="B25" s="18"/>
      <c r="C25" s="50"/>
      <c r="D25" s="51"/>
      <c r="E25" s="52"/>
      <c r="F25" s="53"/>
      <c r="G25" s="61"/>
      <c r="H25" s="57"/>
      <c r="I25" s="57"/>
      <c r="J25" s="53"/>
      <c r="K25" s="57"/>
      <c r="L25" s="57"/>
      <c r="M25" s="53"/>
      <c r="N25" s="57"/>
      <c r="O25" s="57"/>
      <c r="P25" s="53"/>
    </row>
    <row r="26" ht="15.0" customHeight="1">
      <c r="A26" s="14"/>
      <c r="B26" s="122"/>
      <c r="C26" s="88"/>
      <c r="D26" s="123"/>
      <c r="E26" s="124"/>
      <c r="F26" s="14"/>
      <c r="G26" s="125"/>
      <c r="H26" s="87"/>
      <c r="I26" s="87"/>
      <c r="J26" s="14"/>
      <c r="K26" s="87"/>
      <c r="L26" s="87"/>
      <c r="M26" s="14"/>
      <c r="N26" s="87"/>
      <c r="O26" s="87"/>
      <c r="P26" s="14"/>
    </row>
    <row r="27" ht="15.0" customHeight="1">
      <c r="A27" s="14"/>
      <c r="B27" s="122"/>
      <c r="C27" s="88"/>
      <c r="D27" s="123"/>
      <c r="E27" s="124"/>
      <c r="F27" s="14"/>
      <c r="G27" s="125"/>
      <c r="H27" s="87"/>
      <c r="I27" s="87"/>
      <c r="J27" s="14"/>
      <c r="K27" s="87"/>
      <c r="L27" s="87"/>
      <c r="M27" s="14"/>
      <c r="N27" s="87"/>
      <c r="O27" s="87"/>
      <c r="P27" s="14"/>
    </row>
    <row r="28" ht="15.0" customHeight="1">
      <c r="A28" s="14"/>
      <c r="H28" s="14"/>
      <c r="I28" s="14"/>
      <c r="K28" s="14"/>
      <c r="L28" s="14"/>
      <c r="N28" s="14"/>
      <c r="O28" s="14"/>
    </row>
    <row r="29" ht="15.0" customHeight="1">
      <c r="A29" s="14"/>
      <c r="H29" s="90">
        <v>0.1875</v>
      </c>
      <c r="I29" s="93">
        <v>0.2708333333333333</v>
      </c>
      <c r="K29" s="90">
        <v>0.6944444444444444</v>
      </c>
      <c r="L29" s="93">
        <v>0.875</v>
      </c>
      <c r="N29" s="90">
        <v>0.875</v>
      </c>
      <c r="O29" s="93">
        <v>0.9513888888888888</v>
      </c>
      <c r="P29" s="14" t="s">
        <v>89</v>
      </c>
      <c r="Z29" s="96" t="s">
        <v>83</v>
      </c>
    </row>
    <row r="30" ht="15.0" customHeight="1">
      <c r="A30" s="14"/>
      <c r="B30" s="99" t="s">
        <v>86</v>
      </c>
      <c r="I30" s="104"/>
      <c r="J30" s="104">
        <f>I29-H29</f>
        <v>0.08333333333</v>
      </c>
      <c r="N30" s="104"/>
      <c r="O30" s="104">
        <f>L29-K29</f>
        <v>0.1805555556</v>
      </c>
      <c r="R30" s="104">
        <f>O29-N29</f>
        <v>0.07638888889</v>
      </c>
      <c r="S30" s="121">
        <f>SUM(J30, O30, R30)</f>
        <v>0.3402777778</v>
      </c>
      <c r="AC30" s="120">
        <f>IF(J30&gt;=1, J30/24, J30) + IF(O30&gt;=1, O30/24, O30) + IF(R30&gt;=1, R30/24, R30) + IF(U30&gt;=1, U30/24, U30) + IF(X30&gt;=1, X30/24, X30) + IF(AA30&gt;=1, AA30/24, AA30)</f>
        <v>0.3402777778</v>
      </c>
    </row>
    <row r="31" ht="15.75" customHeight="1"/>
    <row r="32" ht="15.75" customHeight="1">
      <c r="A32" s="127"/>
      <c r="B32" s="128" t="s">
        <v>15</v>
      </c>
      <c r="C32" s="129"/>
      <c r="D32" s="130" t="s">
        <v>19</v>
      </c>
      <c r="E32" s="128" t="s">
        <v>20</v>
      </c>
      <c r="F32" s="131"/>
      <c r="G32" s="133" t="s">
        <v>23</v>
      </c>
      <c r="H32" s="134" t="s">
        <v>24</v>
      </c>
      <c r="I32" s="23"/>
      <c r="J32" s="25"/>
      <c r="K32" s="134" t="s">
        <v>31</v>
      </c>
      <c r="L32" s="23"/>
      <c r="M32" s="25"/>
      <c r="N32" s="138" t="s">
        <v>34</v>
      </c>
      <c r="O32" s="23"/>
      <c r="P32" s="25"/>
      <c r="Q32" s="138" t="s">
        <v>39</v>
      </c>
      <c r="R32" s="23"/>
      <c r="S32" s="25"/>
      <c r="T32" s="138" t="s">
        <v>42</v>
      </c>
      <c r="U32" s="23"/>
      <c r="V32" s="25"/>
      <c r="W32" s="138" t="s">
        <v>44</v>
      </c>
      <c r="X32" s="23"/>
      <c r="Y32" s="25"/>
      <c r="Z32" s="138" t="s">
        <v>90</v>
      </c>
      <c r="AA32" s="23"/>
      <c r="AB32" s="25"/>
      <c r="AC32" s="138" t="s">
        <v>91</v>
      </c>
      <c r="AD32" s="23"/>
      <c r="AE32" s="25"/>
      <c r="AF32" s="138" t="s">
        <v>118</v>
      </c>
      <c r="AG32" s="23"/>
      <c r="AH32" s="25"/>
      <c r="AI32" s="138" t="s">
        <v>118</v>
      </c>
      <c r="AJ32" s="23"/>
      <c r="AK32" s="25"/>
      <c r="AL32" s="138" t="s">
        <v>119</v>
      </c>
      <c r="AM32" s="23"/>
      <c r="AN32" s="25"/>
      <c r="AO32" s="138" t="s">
        <v>120</v>
      </c>
      <c r="AP32" s="23"/>
      <c r="AQ32" s="25"/>
      <c r="AR32" s="139"/>
      <c r="AS32" s="140"/>
      <c r="AT32" s="140"/>
      <c r="AU32" s="141" t="s">
        <v>121</v>
      </c>
      <c r="AV32" s="36"/>
      <c r="AW32" s="36"/>
      <c r="AX32" s="36"/>
      <c r="AY32" s="37"/>
    </row>
    <row r="33" ht="15.75" customHeight="1">
      <c r="A33" s="127"/>
      <c r="B33" s="35"/>
      <c r="C33" s="142" t="s">
        <v>28</v>
      </c>
      <c r="D33" s="35"/>
      <c r="E33" s="35"/>
      <c r="F33" s="143" t="s">
        <v>30</v>
      </c>
      <c r="G33" s="39"/>
      <c r="H33" s="144" t="s">
        <v>32</v>
      </c>
      <c r="I33" s="63" t="s">
        <v>36</v>
      </c>
      <c r="J33" s="63" t="s">
        <v>35</v>
      </c>
      <c r="K33" s="63" t="s">
        <v>32</v>
      </c>
      <c r="L33" s="63" t="s">
        <v>36</v>
      </c>
      <c r="M33" s="63" t="s">
        <v>35</v>
      </c>
      <c r="N33" s="63" t="s">
        <v>32</v>
      </c>
      <c r="O33" s="63" t="s">
        <v>36</v>
      </c>
      <c r="P33" s="63" t="s">
        <v>35</v>
      </c>
      <c r="Q33" s="63" t="s">
        <v>32</v>
      </c>
      <c r="R33" s="63" t="s">
        <v>36</v>
      </c>
      <c r="S33" s="63" t="s">
        <v>35</v>
      </c>
      <c r="T33" s="63" t="s">
        <v>32</v>
      </c>
      <c r="U33" s="63" t="s">
        <v>36</v>
      </c>
      <c r="V33" s="63" t="s">
        <v>35</v>
      </c>
      <c r="W33" s="63" t="s">
        <v>32</v>
      </c>
      <c r="X33" s="63" t="s">
        <v>36</v>
      </c>
      <c r="Y33" s="63" t="s">
        <v>35</v>
      </c>
      <c r="Z33" s="63" t="s">
        <v>32</v>
      </c>
      <c r="AA33" s="63" t="s">
        <v>36</v>
      </c>
      <c r="AB33" s="63" t="s">
        <v>35</v>
      </c>
      <c r="AC33" s="63" t="s">
        <v>32</v>
      </c>
      <c r="AD33" s="63" t="s">
        <v>36</v>
      </c>
      <c r="AE33" s="63" t="s">
        <v>35</v>
      </c>
      <c r="AF33" s="63" t="s">
        <v>32</v>
      </c>
      <c r="AG33" s="63" t="s">
        <v>36</v>
      </c>
      <c r="AH33" s="63" t="s">
        <v>35</v>
      </c>
      <c r="AI33" s="63" t="s">
        <v>32</v>
      </c>
      <c r="AJ33" s="63" t="s">
        <v>36</v>
      </c>
      <c r="AK33" s="63" t="s">
        <v>35</v>
      </c>
      <c r="AL33" s="63" t="s">
        <v>32</v>
      </c>
      <c r="AM33" s="63" t="s">
        <v>36</v>
      </c>
      <c r="AN33" s="63" t="s">
        <v>35</v>
      </c>
      <c r="AO33" s="63" t="s">
        <v>32</v>
      </c>
      <c r="AP33" s="63" t="s">
        <v>36</v>
      </c>
      <c r="AQ33" s="63" t="s">
        <v>35</v>
      </c>
    </row>
    <row r="34" ht="15.75" customHeight="1">
      <c r="A34" s="127"/>
      <c r="B34" s="145" t="s">
        <v>22</v>
      </c>
      <c r="C34" s="146" t="s">
        <v>37</v>
      </c>
      <c r="D34" s="146"/>
      <c r="E34" s="147">
        <v>15993.0</v>
      </c>
      <c r="F34" s="148" t="s">
        <v>17</v>
      </c>
      <c r="G34" s="150" t="s">
        <v>8</v>
      </c>
      <c r="H34" s="151" t="s">
        <v>122</v>
      </c>
      <c r="I34" s="152" t="s">
        <v>123</v>
      </c>
      <c r="J34" s="153">
        <v>3.0</v>
      </c>
      <c r="K34" s="151" t="s">
        <v>122</v>
      </c>
      <c r="L34" s="151" t="s">
        <v>124</v>
      </c>
      <c r="M34" s="153">
        <v>1.0</v>
      </c>
      <c r="N34" s="151" t="s">
        <v>122</v>
      </c>
      <c r="O34" s="151" t="s">
        <v>67</v>
      </c>
      <c r="P34" s="153">
        <v>2.0</v>
      </c>
      <c r="Q34" s="151" t="s">
        <v>122</v>
      </c>
      <c r="R34" s="152" t="s">
        <v>125</v>
      </c>
      <c r="S34" s="153">
        <v>1.0</v>
      </c>
      <c r="T34" s="151" t="s">
        <v>122</v>
      </c>
      <c r="U34" s="152" t="s">
        <v>126</v>
      </c>
      <c r="V34" s="153">
        <v>1.0</v>
      </c>
      <c r="W34" s="151" t="s">
        <v>122</v>
      </c>
      <c r="X34" s="152" t="s">
        <v>127</v>
      </c>
      <c r="Y34" s="153">
        <v>12.0</v>
      </c>
      <c r="Z34" s="151" t="s">
        <v>122</v>
      </c>
      <c r="AA34" s="151" t="s">
        <v>128</v>
      </c>
      <c r="AB34" s="153">
        <v>10.0</v>
      </c>
      <c r="AC34" s="151" t="s">
        <v>122</v>
      </c>
      <c r="AD34" s="152" t="s">
        <v>123</v>
      </c>
      <c r="AE34" s="153">
        <v>3.0</v>
      </c>
      <c r="AF34" s="151" t="s">
        <v>122</v>
      </c>
      <c r="AG34" s="151" t="s">
        <v>124</v>
      </c>
      <c r="AH34" s="153">
        <v>1.0</v>
      </c>
      <c r="AI34" s="151" t="s">
        <v>122</v>
      </c>
      <c r="AJ34" s="151" t="s">
        <v>67</v>
      </c>
      <c r="AK34" s="153">
        <v>2.0</v>
      </c>
      <c r="AL34" s="151" t="s">
        <v>122</v>
      </c>
      <c r="AM34" s="151" t="s">
        <v>129</v>
      </c>
      <c r="AN34" s="154">
        <v>0.0</v>
      </c>
      <c r="AO34" s="151" t="s">
        <v>122</v>
      </c>
      <c r="AP34" s="151" t="s">
        <v>130</v>
      </c>
      <c r="AQ34" s="153">
        <v>0.0</v>
      </c>
    </row>
    <row r="35" ht="15.75" customHeight="1">
      <c r="A35" s="127"/>
      <c r="B35" s="151"/>
      <c r="C35" s="155"/>
      <c r="D35" s="155"/>
      <c r="E35" s="151"/>
      <c r="F35" s="151"/>
      <c r="G35" s="156"/>
      <c r="H35" s="151"/>
      <c r="I35" s="152" t="s">
        <v>131</v>
      </c>
      <c r="J35" s="153">
        <v>1.0</v>
      </c>
      <c r="K35" s="151"/>
      <c r="L35" s="157" t="s">
        <v>132</v>
      </c>
      <c r="M35" s="153">
        <v>1.0</v>
      </c>
      <c r="N35" s="151"/>
      <c r="O35" s="158" t="s">
        <v>133</v>
      </c>
      <c r="P35" s="153">
        <v>1.0</v>
      </c>
      <c r="Q35" s="151"/>
      <c r="R35" s="151" t="s">
        <v>134</v>
      </c>
      <c r="S35" s="159">
        <v>1.0</v>
      </c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 t="s">
        <v>131</v>
      </c>
      <c r="AE35" s="153">
        <v>1.0</v>
      </c>
      <c r="AF35" s="151"/>
      <c r="AG35" s="157" t="s">
        <v>132</v>
      </c>
      <c r="AH35" s="153">
        <v>1.0</v>
      </c>
      <c r="AI35" s="151"/>
      <c r="AJ35" s="158" t="s">
        <v>133</v>
      </c>
      <c r="AK35" s="153">
        <v>1.0</v>
      </c>
      <c r="AL35" s="151"/>
      <c r="AM35" s="151" t="s">
        <v>135</v>
      </c>
      <c r="AN35" s="154">
        <v>0.0</v>
      </c>
      <c r="AO35" s="151"/>
      <c r="AP35" s="151"/>
      <c r="AQ35" s="151"/>
    </row>
    <row r="36" ht="15.75" customHeight="1">
      <c r="A36" s="127"/>
      <c r="B36" s="151"/>
      <c r="C36" s="155"/>
      <c r="D36" s="155"/>
      <c r="E36" s="151"/>
      <c r="F36" s="151"/>
      <c r="G36" s="156"/>
      <c r="H36" s="151"/>
      <c r="I36" s="152" t="s">
        <v>136</v>
      </c>
      <c r="J36" s="153">
        <v>1.0</v>
      </c>
      <c r="K36" s="151"/>
      <c r="L36" s="151" t="s">
        <v>137</v>
      </c>
      <c r="M36" s="153">
        <v>1.0</v>
      </c>
      <c r="N36" s="151"/>
      <c r="O36" s="151" t="s">
        <v>138</v>
      </c>
      <c r="P36" s="153">
        <v>1.0</v>
      </c>
      <c r="Q36" s="152" t="s">
        <v>125</v>
      </c>
      <c r="R36" s="151"/>
      <c r="S36" s="153">
        <v>0.0</v>
      </c>
      <c r="T36" s="152" t="s">
        <v>126</v>
      </c>
      <c r="U36" s="151"/>
      <c r="V36" s="153">
        <v>0.0</v>
      </c>
      <c r="W36" s="152" t="s">
        <v>127</v>
      </c>
      <c r="X36" s="151"/>
      <c r="Y36" s="153">
        <v>12.0</v>
      </c>
      <c r="Z36" s="151" t="s">
        <v>128</v>
      </c>
      <c r="AA36" s="151"/>
      <c r="AB36" s="153">
        <v>10.0</v>
      </c>
      <c r="AC36" s="151"/>
      <c r="AD36" s="152" t="s">
        <v>136</v>
      </c>
      <c r="AE36" s="153">
        <v>1.0</v>
      </c>
      <c r="AF36" s="151"/>
      <c r="AG36" s="151" t="s">
        <v>137</v>
      </c>
      <c r="AH36" s="153">
        <v>1.0</v>
      </c>
      <c r="AI36" s="151"/>
      <c r="AJ36" s="151" t="s">
        <v>138</v>
      </c>
      <c r="AK36" s="153">
        <v>1.0</v>
      </c>
      <c r="AL36" s="151"/>
      <c r="AM36" s="151" t="s">
        <v>139</v>
      </c>
      <c r="AN36" s="153">
        <v>0.0</v>
      </c>
      <c r="AO36" s="151" t="s">
        <v>130</v>
      </c>
      <c r="AP36" s="151"/>
      <c r="AQ36" s="153">
        <v>1.0</v>
      </c>
    </row>
    <row r="37" ht="15.75" customHeight="1">
      <c r="A37" s="127"/>
      <c r="B37" s="151"/>
      <c r="C37" s="155"/>
      <c r="D37" s="155"/>
      <c r="E37" s="151"/>
      <c r="F37" s="151"/>
      <c r="G37" s="156"/>
      <c r="H37" s="151"/>
      <c r="I37" s="152" t="s">
        <v>140</v>
      </c>
      <c r="J37" s="153">
        <v>1.0</v>
      </c>
      <c r="K37" s="151"/>
      <c r="L37" s="151" t="s">
        <v>141</v>
      </c>
      <c r="M37" s="153">
        <v>1.0</v>
      </c>
      <c r="N37" s="151"/>
      <c r="O37" s="160" t="s">
        <v>142</v>
      </c>
      <c r="P37" s="153">
        <v>1.0</v>
      </c>
      <c r="Q37" s="151" t="s">
        <v>134</v>
      </c>
      <c r="R37" s="151"/>
      <c r="S37" s="153">
        <v>0.0</v>
      </c>
      <c r="T37" s="151"/>
      <c r="U37" s="151"/>
      <c r="V37" s="151"/>
      <c r="W37" s="151"/>
      <c r="X37" s="127"/>
      <c r="Y37" s="151"/>
      <c r="Z37" s="151"/>
      <c r="AA37" s="151"/>
      <c r="AB37" s="151"/>
      <c r="AC37" s="151"/>
      <c r="AD37" s="152" t="s">
        <v>140</v>
      </c>
      <c r="AE37" s="153">
        <v>1.0</v>
      </c>
      <c r="AF37" s="151"/>
      <c r="AG37" s="151" t="s">
        <v>141</v>
      </c>
      <c r="AH37" s="153">
        <v>1.0</v>
      </c>
      <c r="AI37" s="151"/>
      <c r="AJ37" s="160" t="s">
        <v>142</v>
      </c>
      <c r="AK37" s="153">
        <v>1.0</v>
      </c>
      <c r="AL37" s="151"/>
      <c r="AM37" s="151" t="s">
        <v>143</v>
      </c>
      <c r="AN37" s="153">
        <v>0.0</v>
      </c>
      <c r="AO37" s="151"/>
      <c r="AP37" s="151"/>
      <c r="AQ37" s="151"/>
    </row>
    <row r="38" ht="15.75" customHeight="1">
      <c r="A38" s="127"/>
      <c r="B38" s="151"/>
      <c r="C38" s="155"/>
      <c r="D38" s="155"/>
      <c r="E38" s="151"/>
      <c r="F38" s="151"/>
      <c r="G38" s="156"/>
      <c r="H38" s="151"/>
      <c r="I38" s="152" t="s">
        <v>147</v>
      </c>
      <c r="J38" s="153">
        <v>1.0</v>
      </c>
      <c r="K38" s="151"/>
      <c r="L38" s="152" t="s">
        <v>148</v>
      </c>
      <c r="M38" s="153">
        <v>1.0</v>
      </c>
      <c r="N38" s="151"/>
      <c r="O38" s="160" t="s">
        <v>150</v>
      </c>
      <c r="P38" s="153">
        <v>1.0</v>
      </c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2" t="s">
        <v>147</v>
      </c>
      <c r="AE38" s="153">
        <v>1.0</v>
      </c>
      <c r="AF38" s="151"/>
      <c r="AG38" s="152" t="s">
        <v>148</v>
      </c>
      <c r="AH38" s="153">
        <v>1.0</v>
      </c>
      <c r="AI38" s="151"/>
      <c r="AJ38" s="160" t="s">
        <v>150</v>
      </c>
      <c r="AK38" s="153">
        <v>1.0</v>
      </c>
      <c r="AL38" s="151" t="s">
        <v>129</v>
      </c>
      <c r="AM38" s="154">
        <v>1.0</v>
      </c>
      <c r="AN38" s="153">
        <v>0.0</v>
      </c>
      <c r="AO38" s="151"/>
      <c r="AP38" s="151"/>
      <c r="AQ38" s="151"/>
    </row>
    <row r="39" ht="15.75" customHeight="1">
      <c r="A39" s="127"/>
      <c r="B39" s="151"/>
      <c r="C39" s="155"/>
      <c r="D39" s="155"/>
      <c r="E39" s="151"/>
      <c r="F39" s="151"/>
      <c r="G39" s="156"/>
      <c r="H39" s="151"/>
      <c r="I39" s="152" t="s">
        <v>155</v>
      </c>
      <c r="J39" s="153">
        <v>2.0</v>
      </c>
      <c r="K39" s="151"/>
      <c r="L39" s="152" t="s">
        <v>156</v>
      </c>
      <c r="M39" s="153">
        <v>1.0</v>
      </c>
      <c r="N39" s="151"/>
      <c r="O39" s="151" t="s">
        <v>157</v>
      </c>
      <c r="P39" s="153">
        <v>1.0</v>
      </c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2" t="s">
        <v>155</v>
      </c>
      <c r="AE39" s="153">
        <v>2.0</v>
      </c>
      <c r="AF39" s="151"/>
      <c r="AG39" s="152" t="s">
        <v>156</v>
      </c>
      <c r="AH39" s="153">
        <v>1.0</v>
      </c>
      <c r="AI39" s="151"/>
      <c r="AJ39" s="151" t="s">
        <v>157</v>
      </c>
      <c r="AK39" s="153">
        <v>1.0</v>
      </c>
      <c r="AL39" s="151" t="s">
        <v>135</v>
      </c>
      <c r="AM39" s="154">
        <v>1.0</v>
      </c>
      <c r="AN39" s="151"/>
      <c r="AO39" s="151"/>
      <c r="AP39" s="151"/>
      <c r="AQ39" s="151"/>
    </row>
    <row r="40" ht="15.75" customHeight="1">
      <c r="A40" s="127"/>
      <c r="B40" s="151"/>
      <c r="C40" s="155"/>
      <c r="D40" s="155"/>
      <c r="E40" s="151"/>
      <c r="F40" s="151"/>
      <c r="G40" s="156"/>
      <c r="H40" s="151"/>
      <c r="I40" s="151"/>
      <c r="J40" s="151"/>
      <c r="K40" s="151"/>
      <c r="L40" s="151"/>
      <c r="M40" s="151"/>
      <c r="N40" s="151"/>
      <c r="O40" s="160" t="s">
        <v>160</v>
      </c>
      <c r="P40" s="153">
        <v>1.0</v>
      </c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60" t="s">
        <v>160</v>
      </c>
      <c r="AK40" s="153">
        <v>1.0</v>
      </c>
      <c r="AL40" s="151" t="s">
        <v>139</v>
      </c>
      <c r="AM40" s="153">
        <v>1.0</v>
      </c>
      <c r="AN40" s="151"/>
      <c r="AO40" s="151"/>
      <c r="AP40" s="151"/>
      <c r="AQ40" s="151"/>
    </row>
    <row r="41" ht="15.75" customHeight="1">
      <c r="A41" s="127"/>
      <c r="B41" s="151"/>
      <c r="C41" s="155"/>
      <c r="D41" s="155"/>
      <c r="E41" s="151"/>
      <c r="F41" s="151"/>
      <c r="G41" s="156"/>
      <c r="H41" s="152" t="s">
        <v>123</v>
      </c>
      <c r="I41" s="151"/>
      <c r="J41" s="153">
        <v>3.0</v>
      </c>
      <c r="K41" s="151" t="s">
        <v>124</v>
      </c>
      <c r="L41" s="151"/>
      <c r="M41" s="153">
        <v>1.0</v>
      </c>
      <c r="N41" s="151"/>
      <c r="O41" s="160" t="s">
        <v>161</v>
      </c>
      <c r="P41" s="153">
        <v>1.0</v>
      </c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2" t="s">
        <v>123</v>
      </c>
      <c r="AD41" s="151"/>
      <c r="AE41" s="153">
        <v>3.0</v>
      </c>
      <c r="AF41" s="151" t="s">
        <v>124</v>
      </c>
      <c r="AG41" s="151"/>
      <c r="AH41" s="153">
        <v>1.0</v>
      </c>
      <c r="AI41" s="151"/>
      <c r="AJ41" s="160" t="s">
        <v>161</v>
      </c>
      <c r="AK41" s="153">
        <v>1.0</v>
      </c>
      <c r="AL41" s="151" t="s">
        <v>143</v>
      </c>
      <c r="AM41" s="153">
        <v>1.0</v>
      </c>
      <c r="AN41" s="151"/>
      <c r="AO41" s="151"/>
      <c r="AP41" s="151"/>
      <c r="AQ41" s="151"/>
    </row>
    <row r="42" ht="15.75" customHeight="1">
      <c r="A42" s="127"/>
      <c r="B42" s="151"/>
      <c r="C42" s="155"/>
      <c r="D42" s="155"/>
      <c r="E42" s="151"/>
      <c r="F42" s="151"/>
      <c r="G42" s="156"/>
      <c r="H42" s="152" t="s">
        <v>131</v>
      </c>
      <c r="I42" s="151"/>
      <c r="J42" s="153">
        <v>1.0</v>
      </c>
      <c r="K42" s="157" t="s">
        <v>132</v>
      </c>
      <c r="L42" s="151"/>
      <c r="M42" s="153">
        <v>1.0</v>
      </c>
      <c r="N42" s="158"/>
      <c r="O42" s="160" t="s">
        <v>163</v>
      </c>
      <c r="P42" s="153">
        <v>1.0</v>
      </c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2" t="s">
        <v>131</v>
      </c>
      <c r="AD42" s="151"/>
      <c r="AE42" s="153">
        <v>1.0</v>
      </c>
      <c r="AF42" s="157" t="s">
        <v>132</v>
      </c>
      <c r="AG42" s="151"/>
      <c r="AH42" s="153">
        <v>1.0</v>
      </c>
      <c r="AI42" s="158"/>
      <c r="AJ42" s="160" t="s">
        <v>163</v>
      </c>
      <c r="AK42" s="153">
        <v>1.0</v>
      </c>
      <c r="AL42" s="151"/>
      <c r="AM42" s="151"/>
      <c r="AN42" s="151"/>
      <c r="AO42" s="151"/>
      <c r="AP42" s="151"/>
      <c r="AQ42" s="151"/>
    </row>
    <row r="43" ht="15.75" customHeight="1">
      <c r="A43" s="127"/>
      <c r="B43" s="151"/>
      <c r="C43" s="155"/>
      <c r="D43" s="155"/>
      <c r="E43" s="151"/>
      <c r="F43" s="151"/>
      <c r="G43" s="156"/>
      <c r="H43" s="152" t="s">
        <v>136</v>
      </c>
      <c r="I43" s="151"/>
      <c r="J43" s="153">
        <v>1.0</v>
      </c>
      <c r="K43" s="151" t="s">
        <v>137</v>
      </c>
      <c r="L43" s="151"/>
      <c r="M43" s="153">
        <v>1.0</v>
      </c>
      <c r="N43" s="151"/>
      <c r="O43" s="151" t="s">
        <v>164</v>
      </c>
      <c r="P43" s="153">
        <v>1.0</v>
      </c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2" t="s">
        <v>136</v>
      </c>
      <c r="AD43" s="151"/>
      <c r="AE43" s="153">
        <v>1.0</v>
      </c>
      <c r="AF43" s="151" t="s">
        <v>137</v>
      </c>
      <c r="AG43" s="151"/>
      <c r="AH43" s="153">
        <v>1.0</v>
      </c>
      <c r="AI43" s="151"/>
      <c r="AJ43" s="151" t="s">
        <v>164</v>
      </c>
      <c r="AK43" s="153">
        <v>1.0</v>
      </c>
      <c r="AL43" s="151"/>
      <c r="AM43" s="151"/>
      <c r="AN43" s="151"/>
      <c r="AO43" s="151"/>
      <c r="AP43" s="151"/>
      <c r="AQ43" s="151"/>
    </row>
    <row r="44" ht="15.75" customHeight="1">
      <c r="A44" s="127"/>
      <c r="B44" s="151"/>
      <c r="C44" s="155"/>
      <c r="D44" s="155"/>
      <c r="E44" s="151"/>
      <c r="F44" s="151"/>
      <c r="G44" s="156"/>
      <c r="H44" s="152" t="s">
        <v>140</v>
      </c>
      <c r="I44" s="151"/>
      <c r="J44" s="153">
        <v>1.0</v>
      </c>
      <c r="K44" s="151" t="s">
        <v>141</v>
      </c>
      <c r="L44" s="151"/>
      <c r="M44" s="153">
        <v>0.0</v>
      </c>
      <c r="N44" s="151" t="s">
        <v>67</v>
      </c>
      <c r="O44" s="151"/>
      <c r="P44" s="153">
        <v>2.0</v>
      </c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2" t="s">
        <v>140</v>
      </c>
      <c r="AD44" s="151"/>
      <c r="AE44" s="153">
        <v>1.0</v>
      </c>
      <c r="AF44" s="151" t="s">
        <v>141</v>
      </c>
      <c r="AG44" s="151"/>
      <c r="AH44" s="153">
        <v>0.0</v>
      </c>
      <c r="AI44" s="151" t="s">
        <v>67</v>
      </c>
      <c r="AJ44" s="151"/>
      <c r="AK44" s="153">
        <v>2.0</v>
      </c>
      <c r="AL44" s="151"/>
      <c r="AM44" s="151"/>
      <c r="AN44" s="151"/>
      <c r="AO44" s="151"/>
      <c r="AP44" s="151"/>
      <c r="AQ44" s="151"/>
    </row>
    <row r="45" ht="15.75" customHeight="1">
      <c r="A45" s="127"/>
      <c r="B45" s="151"/>
      <c r="C45" s="155"/>
      <c r="D45" s="155"/>
      <c r="E45" s="151"/>
      <c r="F45" s="151"/>
      <c r="G45" s="156"/>
      <c r="H45" s="152" t="s">
        <v>147</v>
      </c>
      <c r="I45" s="151"/>
      <c r="J45" s="153">
        <v>0.0</v>
      </c>
      <c r="K45" s="152" t="s">
        <v>148</v>
      </c>
      <c r="L45" s="151"/>
      <c r="M45" s="153">
        <v>0.0</v>
      </c>
      <c r="N45" s="158" t="s">
        <v>133</v>
      </c>
      <c r="O45" s="151"/>
      <c r="P45" s="153">
        <v>0.0</v>
      </c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2" t="s">
        <v>147</v>
      </c>
      <c r="AD45" s="151"/>
      <c r="AE45" s="153">
        <v>0.0</v>
      </c>
      <c r="AF45" s="152" t="s">
        <v>148</v>
      </c>
      <c r="AG45" s="151"/>
      <c r="AH45" s="153">
        <v>0.0</v>
      </c>
      <c r="AI45" s="158" t="s">
        <v>133</v>
      </c>
      <c r="AJ45" s="151"/>
      <c r="AK45" s="153">
        <v>0.0</v>
      </c>
      <c r="AL45" s="151"/>
      <c r="AM45" s="151"/>
      <c r="AN45" s="151"/>
      <c r="AO45" s="151"/>
      <c r="AP45" s="151"/>
      <c r="AQ45" s="151"/>
    </row>
    <row r="46" ht="15.75" customHeight="1">
      <c r="A46" s="127"/>
      <c r="B46" s="151"/>
      <c r="C46" s="155"/>
      <c r="D46" s="155"/>
      <c r="E46" s="151"/>
      <c r="F46" s="151"/>
      <c r="G46" s="156"/>
      <c r="H46" s="152" t="s">
        <v>155</v>
      </c>
      <c r="I46" s="151"/>
      <c r="J46" s="153">
        <v>0.0</v>
      </c>
      <c r="K46" s="152" t="s">
        <v>156</v>
      </c>
      <c r="L46" s="151"/>
      <c r="M46" s="153">
        <v>0.0</v>
      </c>
      <c r="N46" s="151" t="s">
        <v>138</v>
      </c>
      <c r="O46" s="151"/>
      <c r="P46" s="153">
        <v>0.0</v>
      </c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2" t="s">
        <v>155</v>
      </c>
      <c r="AD46" s="151"/>
      <c r="AE46" s="153">
        <v>0.0</v>
      </c>
      <c r="AF46" s="152" t="s">
        <v>156</v>
      </c>
      <c r="AG46" s="151"/>
      <c r="AH46" s="153">
        <v>0.0</v>
      </c>
      <c r="AI46" s="151" t="s">
        <v>138</v>
      </c>
      <c r="AJ46" s="151"/>
      <c r="AK46" s="153">
        <v>0.0</v>
      </c>
      <c r="AL46" s="151"/>
      <c r="AM46" s="151"/>
      <c r="AN46" s="151"/>
      <c r="AO46" s="151"/>
      <c r="AP46" s="151"/>
      <c r="AQ46" s="151"/>
    </row>
    <row r="47" ht="15.75" customHeight="1">
      <c r="A47" s="127"/>
      <c r="B47" s="127"/>
      <c r="C47" s="172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60" t="s">
        <v>142</v>
      </c>
      <c r="O47" s="151"/>
      <c r="P47" s="153">
        <v>0.0</v>
      </c>
      <c r="Q47" s="151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60" t="s">
        <v>142</v>
      </c>
      <c r="AJ47" s="151"/>
      <c r="AK47" s="153">
        <v>0.0</v>
      </c>
      <c r="AL47" s="127"/>
      <c r="AM47" s="127"/>
      <c r="AN47" s="127"/>
      <c r="AO47" s="127"/>
      <c r="AP47" s="127"/>
      <c r="AQ47" s="127"/>
    </row>
    <row r="48" ht="15.75" customHeight="1">
      <c r="A48" s="127"/>
      <c r="B48" s="127"/>
      <c r="C48" s="172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60" t="s">
        <v>150</v>
      </c>
      <c r="O48" s="151"/>
      <c r="P48" s="153">
        <v>0.0</v>
      </c>
      <c r="Q48" s="151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160" t="s">
        <v>150</v>
      </c>
      <c r="AJ48" s="151"/>
      <c r="AK48" s="153">
        <v>0.0</v>
      </c>
      <c r="AL48" s="127"/>
      <c r="AM48" s="127"/>
      <c r="AN48" s="127"/>
      <c r="AO48" s="127"/>
      <c r="AP48" s="127"/>
      <c r="AQ48" s="127"/>
    </row>
    <row r="49" ht="15.75" customHeight="1">
      <c r="A49" s="127"/>
      <c r="B49" s="127"/>
      <c r="C49" s="172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51" t="s">
        <v>157</v>
      </c>
      <c r="O49" s="151"/>
      <c r="P49" s="153">
        <v>1.0</v>
      </c>
      <c r="Q49" s="151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51" t="s">
        <v>157</v>
      </c>
      <c r="AJ49" s="151"/>
      <c r="AK49" s="153">
        <v>1.0</v>
      </c>
      <c r="AL49" s="127"/>
      <c r="AM49" s="127"/>
      <c r="AN49" s="127"/>
      <c r="AO49" s="127"/>
      <c r="AP49" s="127"/>
      <c r="AQ49" s="127"/>
    </row>
    <row r="50" ht="15.75" customHeight="1">
      <c r="A50" s="127"/>
      <c r="B50" s="127"/>
      <c r="C50" s="172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60" t="s">
        <v>160</v>
      </c>
      <c r="O50" s="151"/>
      <c r="P50" s="153">
        <v>1.0</v>
      </c>
      <c r="Q50" s="151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160" t="s">
        <v>160</v>
      </c>
      <c r="AJ50" s="151"/>
      <c r="AK50" s="153">
        <v>1.0</v>
      </c>
      <c r="AL50" s="127"/>
      <c r="AM50" s="127"/>
      <c r="AN50" s="127"/>
      <c r="AO50" s="127"/>
      <c r="AP50" s="127"/>
      <c r="AQ50" s="127"/>
    </row>
    <row r="51" ht="15.75" customHeight="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60" t="s">
        <v>161</v>
      </c>
      <c r="O51" s="151"/>
      <c r="P51" s="153">
        <v>1.0</v>
      </c>
      <c r="Q51" s="151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60" t="s">
        <v>161</v>
      </c>
      <c r="AJ51" s="151"/>
      <c r="AK51" s="153">
        <v>1.0</v>
      </c>
      <c r="AL51" s="127"/>
      <c r="AM51" s="127"/>
      <c r="AN51" s="127"/>
      <c r="AO51" s="127"/>
      <c r="AP51" s="127"/>
      <c r="AQ51" s="127"/>
    </row>
    <row r="52" ht="15.75" customHeight="1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60" t="s">
        <v>163</v>
      </c>
      <c r="O52" s="151"/>
      <c r="P52" s="153">
        <v>1.0</v>
      </c>
      <c r="Q52" s="151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60" t="s">
        <v>163</v>
      </c>
      <c r="AJ52" s="151"/>
      <c r="AK52" s="153">
        <v>1.0</v>
      </c>
      <c r="AL52" s="127"/>
      <c r="AM52" s="127"/>
      <c r="AN52" s="127"/>
      <c r="AO52" s="127"/>
      <c r="AP52" s="127"/>
      <c r="AQ52" s="127"/>
    </row>
    <row r="53" ht="15.75" customHeight="1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51" t="s">
        <v>164</v>
      </c>
      <c r="O53" s="151"/>
      <c r="P53" s="153">
        <v>1.0</v>
      </c>
      <c r="Q53" s="151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51" t="s">
        <v>164</v>
      </c>
      <c r="AJ53" s="151"/>
      <c r="AK53" s="153">
        <v>1.0</v>
      </c>
      <c r="AL53" s="127"/>
      <c r="AM53" s="127"/>
      <c r="AN53" s="127"/>
      <c r="AO53" s="127"/>
      <c r="AP53" s="127"/>
      <c r="AQ53" s="127"/>
      <c r="AR53" s="127"/>
    </row>
    <row r="54" ht="15.75" customHeight="1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7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</row>
    <row r="55" ht="15.75" customHeight="1">
      <c r="A55" s="127"/>
      <c r="B55" s="127"/>
      <c r="C55" s="127"/>
      <c r="D55" s="127"/>
      <c r="E55" s="127"/>
      <c r="F55" s="127"/>
      <c r="G55" s="127"/>
      <c r="H55" s="178">
        <v>0.1875</v>
      </c>
      <c r="I55" s="179">
        <v>0.25</v>
      </c>
      <c r="J55" s="127"/>
      <c r="K55" s="178">
        <v>0.25</v>
      </c>
      <c r="L55" s="179">
        <v>0.3090277777777778</v>
      </c>
      <c r="M55" s="127"/>
      <c r="N55" s="178">
        <v>0.3125</v>
      </c>
      <c r="O55" s="180" t="s">
        <v>183</v>
      </c>
      <c r="P55" s="127"/>
      <c r="Q55" s="178">
        <v>0.3958333333333333</v>
      </c>
      <c r="R55" s="179">
        <v>0.4583333333333333</v>
      </c>
      <c r="S55" s="127"/>
      <c r="T55" s="178">
        <v>0.4583333333333333</v>
      </c>
      <c r="U55" s="179">
        <v>0.5208333333333334</v>
      </c>
      <c r="V55" s="127"/>
      <c r="W55" s="181">
        <v>0.59375</v>
      </c>
      <c r="X55" s="179">
        <v>0.6458333333333334</v>
      </c>
      <c r="Y55" s="127"/>
      <c r="Z55" s="178">
        <v>0.65625</v>
      </c>
      <c r="AA55" s="179">
        <v>0.6979166666666666</v>
      </c>
      <c r="AB55" s="127"/>
      <c r="AC55" s="178">
        <v>0.7013888888888888</v>
      </c>
      <c r="AD55" s="179">
        <v>0.75</v>
      </c>
      <c r="AE55" s="127"/>
      <c r="AF55" s="178">
        <v>0.7534722222222222</v>
      </c>
      <c r="AG55" s="179">
        <v>0.8090277777777778</v>
      </c>
      <c r="AH55" s="127"/>
      <c r="AI55" s="178">
        <v>0.8125</v>
      </c>
      <c r="AJ55" s="179">
        <v>0.875</v>
      </c>
      <c r="AL55" s="178">
        <v>0.8958333333333334</v>
      </c>
      <c r="AM55" s="179">
        <v>0.9791666666666666</v>
      </c>
      <c r="AO55" s="178">
        <v>0.9861111111111112</v>
      </c>
      <c r="AP55" s="181">
        <v>0.020833333333333332</v>
      </c>
      <c r="AS55" s="127"/>
    </row>
  </sheetData>
  <mergeCells count="24">
    <mergeCell ref="B6:B7"/>
    <mergeCell ref="D6:D7"/>
    <mergeCell ref="E6:E7"/>
    <mergeCell ref="G6:G7"/>
    <mergeCell ref="H6:J6"/>
    <mergeCell ref="K6:M6"/>
    <mergeCell ref="N6:P6"/>
    <mergeCell ref="B32:B33"/>
    <mergeCell ref="D32:D33"/>
    <mergeCell ref="E32:E33"/>
    <mergeCell ref="G32:G33"/>
    <mergeCell ref="H32:J32"/>
    <mergeCell ref="K32:M32"/>
    <mergeCell ref="N32:P32"/>
    <mergeCell ref="AL32:AN32"/>
    <mergeCell ref="AO32:AQ32"/>
    <mergeCell ref="AU32:AY32"/>
    <mergeCell ref="Q32:S32"/>
    <mergeCell ref="T32:V32"/>
    <mergeCell ref="W32:Y32"/>
    <mergeCell ref="Z32:AB32"/>
    <mergeCell ref="AC32:AE32"/>
    <mergeCell ref="AF32:AH32"/>
    <mergeCell ref="AI32:AK3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38.86"/>
    <col customWidth="1" min="3" max="3" width="38.29"/>
    <col customWidth="1" min="4" max="4" width="33.14"/>
    <col customWidth="1" min="5" max="5" width="13.71"/>
    <col customWidth="1" min="6" max="6" width="29.0"/>
    <col customWidth="1" min="13" max="13" width="42.71"/>
    <col customWidth="1" min="14" max="14" width="21.86"/>
  </cols>
  <sheetData>
    <row r="1">
      <c r="A1" s="161"/>
      <c r="B1" s="161"/>
      <c r="C1" s="161"/>
      <c r="D1" s="161"/>
      <c r="I1" s="161"/>
      <c r="J1" s="161"/>
      <c r="K1" s="161"/>
      <c r="L1" s="161"/>
      <c r="M1" s="162"/>
      <c r="N1" s="162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</row>
    <row r="2">
      <c r="A2" s="161"/>
      <c r="B2" s="163" t="s">
        <v>162</v>
      </c>
      <c r="C2" s="163" t="s">
        <v>33</v>
      </c>
      <c r="D2" s="161"/>
      <c r="F2" s="164"/>
      <c r="G2" s="164"/>
      <c r="I2" s="161"/>
      <c r="J2" s="161"/>
      <c r="K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</row>
    <row r="3">
      <c r="A3" s="165">
        <v>65462.0</v>
      </c>
      <c r="B3" s="166" t="s">
        <v>47</v>
      </c>
      <c r="C3" s="167" t="s">
        <v>109</v>
      </c>
      <c r="E3" s="164"/>
      <c r="F3" s="164"/>
      <c r="G3" s="164"/>
      <c r="H3" s="164"/>
      <c r="I3" s="161"/>
      <c r="J3" s="161"/>
      <c r="K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</row>
    <row r="4">
      <c r="A4" s="168"/>
      <c r="B4" s="169" t="s">
        <v>48</v>
      </c>
      <c r="C4" s="170" t="s">
        <v>165</v>
      </c>
      <c r="E4" s="164"/>
      <c r="F4" s="164"/>
      <c r="G4" s="164"/>
      <c r="H4" s="164"/>
      <c r="I4" s="161"/>
      <c r="J4" s="161"/>
      <c r="K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</row>
    <row r="5">
      <c r="A5" s="168"/>
      <c r="B5" s="169" t="s">
        <v>166</v>
      </c>
      <c r="C5" s="171" t="s">
        <v>167</v>
      </c>
      <c r="E5" s="164"/>
      <c r="F5" s="164"/>
      <c r="G5" s="164"/>
      <c r="H5" s="164"/>
      <c r="I5" s="161"/>
      <c r="J5" s="161"/>
      <c r="K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</row>
    <row r="6">
      <c r="A6" s="168"/>
      <c r="B6" s="169" t="s">
        <v>55</v>
      </c>
      <c r="C6" s="170" t="s">
        <v>168</v>
      </c>
      <c r="I6" s="161"/>
      <c r="J6" s="161"/>
      <c r="K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</row>
    <row r="7">
      <c r="A7" s="168"/>
      <c r="B7" s="169" t="s">
        <v>70</v>
      </c>
      <c r="C7" s="170" t="s">
        <v>169</v>
      </c>
      <c r="I7" s="161"/>
      <c r="J7" s="161"/>
      <c r="K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</row>
    <row r="8">
      <c r="A8" s="168"/>
      <c r="B8" s="169" t="s">
        <v>170</v>
      </c>
      <c r="C8" s="170" t="s">
        <v>171</v>
      </c>
      <c r="F8" s="161"/>
      <c r="G8" s="161"/>
      <c r="H8" s="161"/>
      <c r="I8" s="161"/>
      <c r="J8" s="161"/>
      <c r="K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</row>
    <row r="9">
      <c r="A9" s="168"/>
      <c r="B9" s="169" t="s">
        <v>80</v>
      </c>
      <c r="C9" s="170" t="s">
        <v>172</v>
      </c>
      <c r="F9" s="161"/>
      <c r="G9" s="161"/>
      <c r="H9" s="161"/>
      <c r="I9" s="161"/>
      <c r="J9" s="161"/>
      <c r="K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</row>
    <row r="10">
      <c r="A10" s="35"/>
      <c r="B10" s="173" t="s">
        <v>52</v>
      </c>
      <c r="C10" s="175" t="s">
        <v>173</v>
      </c>
      <c r="F10" s="161"/>
      <c r="G10" s="161"/>
      <c r="H10" s="161"/>
      <c r="I10" s="161"/>
      <c r="J10" s="161"/>
      <c r="K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</row>
    <row r="11">
      <c r="A11" s="164"/>
      <c r="F11" s="161"/>
      <c r="G11" s="161"/>
      <c r="H11" s="161"/>
      <c r="I11" s="161"/>
      <c r="J11" s="161"/>
      <c r="K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</row>
    <row r="12">
      <c r="A12" s="161"/>
      <c r="B12" s="176" t="s">
        <v>162</v>
      </c>
      <c r="C12" s="176" t="s">
        <v>33</v>
      </c>
      <c r="F12" s="161"/>
      <c r="G12" s="161"/>
      <c r="H12" s="161"/>
      <c r="I12" s="161"/>
      <c r="J12" s="161"/>
      <c r="K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</row>
    <row r="13">
      <c r="A13" s="165">
        <v>48233.0</v>
      </c>
      <c r="B13" s="57" t="s">
        <v>47</v>
      </c>
      <c r="C13" s="57" t="s">
        <v>109</v>
      </c>
      <c r="F13" s="161"/>
      <c r="G13" s="161"/>
      <c r="H13" s="161"/>
      <c r="I13" s="161"/>
      <c r="J13" s="161"/>
      <c r="K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</row>
    <row r="14">
      <c r="A14" s="168"/>
      <c r="B14" s="57" t="s">
        <v>48</v>
      </c>
      <c r="C14" s="53" t="s">
        <v>165</v>
      </c>
      <c r="F14" s="161"/>
      <c r="G14" s="161"/>
      <c r="H14" s="161"/>
      <c r="I14" s="161"/>
      <c r="J14" s="161"/>
      <c r="K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</row>
    <row r="15">
      <c r="A15" s="168"/>
      <c r="B15" s="57" t="s">
        <v>103</v>
      </c>
      <c r="C15" s="53" t="s">
        <v>174</v>
      </c>
      <c r="F15" s="161"/>
      <c r="G15" s="161"/>
      <c r="H15" s="161"/>
      <c r="I15" s="161"/>
      <c r="J15" s="161"/>
      <c r="K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</row>
    <row r="16">
      <c r="A16" s="168"/>
      <c r="B16" s="57" t="s">
        <v>107</v>
      </c>
      <c r="C16" s="53" t="s">
        <v>175</v>
      </c>
      <c r="F16" s="161"/>
      <c r="G16" s="161"/>
      <c r="H16" s="161"/>
      <c r="I16" s="161"/>
      <c r="J16" s="161"/>
      <c r="K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</row>
    <row r="17">
      <c r="A17" s="168"/>
      <c r="B17" s="57" t="s">
        <v>110</v>
      </c>
      <c r="C17" s="53" t="s">
        <v>176</v>
      </c>
      <c r="F17" s="161"/>
      <c r="G17" s="161"/>
      <c r="H17" s="161"/>
      <c r="I17" s="161"/>
      <c r="J17" s="161"/>
      <c r="K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</row>
    <row r="18">
      <c r="A18" s="168"/>
      <c r="B18" s="57" t="s">
        <v>111</v>
      </c>
      <c r="C18" s="53" t="s">
        <v>177</v>
      </c>
      <c r="F18" s="161"/>
      <c r="G18" s="161"/>
      <c r="H18" s="161"/>
      <c r="I18" s="161"/>
      <c r="J18" s="161"/>
      <c r="K18" s="161"/>
      <c r="N18" s="99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</row>
    <row r="19">
      <c r="A19" s="168"/>
      <c r="B19" s="57" t="s">
        <v>178</v>
      </c>
      <c r="C19" s="53" t="s">
        <v>179</v>
      </c>
      <c r="F19" s="161"/>
      <c r="G19" s="161"/>
      <c r="H19" s="161"/>
      <c r="I19" s="161"/>
      <c r="J19" s="161"/>
      <c r="K19" s="161"/>
      <c r="N19" s="99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</row>
    <row r="20">
      <c r="A20" s="168"/>
      <c r="B20" s="57" t="s">
        <v>180</v>
      </c>
      <c r="C20" s="53" t="s">
        <v>181</v>
      </c>
      <c r="F20" s="161"/>
      <c r="G20" s="161"/>
      <c r="H20" s="161"/>
      <c r="I20" s="161"/>
      <c r="J20" s="161"/>
      <c r="K20" s="161"/>
      <c r="N20" s="99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</row>
    <row r="21" ht="15.75" customHeight="1">
      <c r="A21" s="168"/>
      <c r="B21" s="57" t="s">
        <v>108</v>
      </c>
      <c r="C21" s="53" t="s">
        <v>182</v>
      </c>
      <c r="F21" s="161"/>
      <c r="G21" s="161"/>
      <c r="H21" s="161"/>
      <c r="I21" s="161"/>
      <c r="J21" s="161"/>
      <c r="K21" s="161"/>
      <c r="N21" s="99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</row>
    <row r="22" ht="15.75" customHeight="1">
      <c r="A22" s="168"/>
      <c r="B22" s="57" t="s">
        <v>100</v>
      </c>
      <c r="C22" s="53" t="s">
        <v>184</v>
      </c>
      <c r="F22" s="161"/>
      <c r="G22" s="161"/>
      <c r="H22" s="161"/>
      <c r="I22" s="161"/>
      <c r="J22" s="161"/>
      <c r="K22" s="161"/>
      <c r="N22" s="99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</row>
    <row r="23" ht="15.75" customHeight="1">
      <c r="A23" s="168"/>
      <c r="B23" s="57" t="s">
        <v>105</v>
      </c>
      <c r="C23" s="53" t="s">
        <v>171</v>
      </c>
      <c r="F23" s="161"/>
      <c r="G23" s="161"/>
      <c r="H23" s="161"/>
      <c r="I23" s="161"/>
      <c r="J23" s="161"/>
      <c r="K23" s="161"/>
      <c r="N23" s="99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</row>
    <row r="24" ht="15.75" customHeight="1">
      <c r="A24" s="168"/>
      <c r="B24" s="57" t="s">
        <v>101</v>
      </c>
      <c r="C24" s="53" t="s">
        <v>102</v>
      </c>
      <c r="F24" s="161"/>
      <c r="G24" s="161"/>
      <c r="H24" s="161"/>
      <c r="I24" s="161"/>
      <c r="J24" s="161"/>
      <c r="K24" s="161"/>
      <c r="N24" s="99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</row>
    <row r="25" ht="15.75" customHeight="1">
      <c r="A25" s="168"/>
      <c r="B25" s="57" t="s">
        <v>178</v>
      </c>
      <c r="C25" s="53" t="s">
        <v>179</v>
      </c>
      <c r="F25" s="161"/>
      <c r="G25" s="161"/>
      <c r="H25" s="161"/>
      <c r="I25" s="161"/>
      <c r="J25" s="161"/>
      <c r="K25" s="161"/>
      <c r="N25" s="99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</row>
    <row r="26" ht="15.75" customHeight="1">
      <c r="A26" s="35"/>
      <c r="B26" s="57" t="s">
        <v>106</v>
      </c>
      <c r="C26" s="53" t="s">
        <v>171</v>
      </c>
      <c r="F26" s="161"/>
      <c r="G26" s="161"/>
      <c r="H26" s="161"/>
      <c r="I26" s="161"/>
      <c r="J26" s="161"/>
      <c r="K26" s="161"/>
      <c r="N26" s="99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</row>
    <row r="27" ht="15.75" customHeight="1">
      <c r="A27" s="161"/>
      <c r="F27" s="161"/>
      <c r="G27" s="161"/>
      <c r="H27" s="161"/>
      <c r="I27" s="161"/>
      <c r="J27" s="161"/>
      <c r="K27" s="161"/>
      <c r="N27" s="99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</row>
    <row r="28" ht="15.75" customHeight="1">
      <c r="A28" s="161"/>
      <c r="B28" s="176" t="s">
        <v>162</v>
      </c>
      <c r="C28" s="176" t="s">
        <v>33</v>
      </c>
      <c r="F28" s="161"/>
      <c r="G28" s="161"/>
      <c r="H28" s="161"/>
      <c r="I28" s="161"/>
      <c r="J28" s="161"/>
      <c r="K28" s="161"/>
      <c r="N28" s="99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</row>
    <row r="29" ht="15.75" customHeight="1">
      <c r="A29" s="165">
        <v>73398.0</v>
      </c>
      <c r="B29" s="182" t="s">
        <v>40</v>
      </c>
      <c r="C29" s="105" t="s">
        <v>53</v>
      </c>
      <c r="F29" s="161"/>
      <c r="G29" s="161"/>
      <c r="H29" s="161"/>
      <c r="I29" s="161"/>
      <c r="J29" s="161"/>
      <c r="K29" s="161"/>
      <c r="N29" s="99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</row>
    <row r="30" ht="15.75" customHeight="1">
      <c r="A30" s="168"/>
      <c r="B30" s="59" t="s">
        <v>45</v>
      </c>
      <c r="C30" s="57" t="s">
        <v>41</v>
      </c>
      <c r="F30" s="161"/>
      <c r="G30" s="161"/>
      <c r="H30" s="161"/>
      <c r="I30" s="161"/>
      <c r="J30" s="161"/>
      <c r="K30" s="161"/>
      <c r="N30" s="99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</row>
    <row r="31" ht="15.75" customHeight="1">
      <c r="A31" s="168"/>
      <c r="B31" s="59" t="s">
        <v>43</v>
      </c>
      <c r="C31" s="183" t="s">
        <v>185</v>
      </c>
      <c r="F31" s="161"/>
      <c r="G31" s="161"/>
      <c r="H31" s="161"/>
      <c r="I31" s="161"/>
      <c r="J31" s="161"/>
      <c r="K31" s="161"/>
      <c r="N31" s="99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</row>
    <row r="32" ht="15.75" customHeight="1">
      <c r="A32" s="168"/>
      <c r="B32" s="59" t="s">
        <v>50</v>
      </c>
      <c r="C32" s="183" t="s">
        <v>186</v>
      </c>
      <c r="F32" s="161"/>
      <c r="G32" s="161"/>
      <c r="H32" s="161"/>
      <c r="I32" s="161"/>
      <c r="J32" s="161"/>
      <c r="K32" s="161"/>
      <c r="N32" s="99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</row>
    <row r="33" ht="15.75" customHeight="1">
      <c r="A33" s="168"/>
      <c r="B33" s="59" t="s">
        <v>54</v>
      </c>
      <c r="C33" s="183" t="s">
        <v>187</v>
      </c>
      <c r="F33" s="161"/>
      <c r="G33" s="161"/>
      <c r="H33" s="161"/>
      <c r="I33" s="161"/>
      <c r="J33" s="161"/>
      <c r="K33" s="161"/>
      <c r="N33" s="99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</row>
    <row r="34" ht="15.75" customHeight="1">
      <c r="A34" s="168"/>
      <c r="B34" s="59" t="s">
        <v>58</v>
      </c>
      <c r="C34" s="183" t="s">
        <v>188</v>
      </c>
      <c r="F34" s="161"/>
      <c r="G34" s="161"/>
      <c r="H34" s="161"/>
      <c r="I34" s="161"/>
      <c r="J34" s="161"/>
      <c r="K34" s="161"/>
      <c r="N34" s="99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</row>
    <row r="35" ht="15.75" customHeight="1">
      <c r="A35" s="168"/>
      <c r="B35" s="59" t="s">
        <v>61</v>
      </c>
      <c r="C35" s="57" t="s">
        <v>189</v>
      </c>
      <c r="F35" s="161"/>
      <c r="G35" s="161"/>
      <c r="H35" s="161"/>
      <c r="I35" s="161"/>
      <c r="J35" s="161"/>
      <c r="K35" s="161"/>
      <c r="N35" s="99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</row>
    <row r="36" ht="15.75" customHeight="1">
      <c r="A36" s="168"/>
      <c r="B36" s="59" t="s">
        <v>62</v>
      </c>
      <c r="C36" s="183" t="s">
        <v>190</v>
      </c>
      <c r="F36" s="161"/>
      <c r="G36" s="161"/>
      <c r="H36" s="161"/>
      <c r="I36" s="161"/>
      <c r="J36" s="161"/>
      <c r="K36" s="161"/>
      <c r="N36" s="99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</row>
    <row r="37" ht="15.75" customHeight="1">
      <c r="A37" s="168"/>
      <c r="B37" s="59" t="s">
        <v>65</v>
      </c>
      <c r="C37" s="183" t="s">
        <v>191</v>
      </c>
      <c r="F37" s="161"/>
      <c r="G37" s="161"/>
      <c r="H37" s="161"/>
      <c r="I37" s="161"/>
      <c r="J37" s="161"/>
      <c r="K37" s="161"/>
      <c r="N37" s="99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</row>
    <row r="38" ht="15.75" customHeight="1">
      <c r="A38" s="168"/>
      <c r="B38" s="59" t="s">
        <v>43</v>
      </c>
      <c r="C38" s="183" t="s">
        <v>185</v>
      </c>
      <c r="F38" s="161"/>
      <c r="G38" s="161"/>
      <c r="H38" s="161"/>
      <c r="I38" s="161"/>
      <c r="J38" s="161"/>
      <c r="K38" s="161"/>
      <c r="N38" s="99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</row>
    <row r="39" ht="15.75" customHeight="1">
      <c r="A39" s="168"/>
      <c r="B39" s="59" t="s">
        <v>50</v>
      </c>
      <c r="C39" s="183" t="s">
        <v>186</v>
      </c>
      <c r="F39" s="161"/>
      <c r="G39" s="161"/>
      <c r="H39" s="161"/>
      <c r="I39" s="161"/>
      <c r="J39" s="161"/>
      <c r="K39" s="161"/>
      <c r="N39" s="99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</row>
    <row r="40" ht="15.75" customHeight="1">
      <c r="A40" s="168"/>
      <c r="B40" s="59" t="s">
        <v>54</v>
      </c>
      <c r="C40" s="183" t="s">
        <v>187</v>
      </c>
      <c r="F40" s="161"/>
      <c r="G40" s="161"/>
      <c r="H40" s="161"/>
      <c r="I40" s="161"/>
      <c r="J40" s="161"/>
      <c r="K40" s="161"/>
      <c r="N40" s="99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</row>
    <row r="41" ht="15.75" customHeight="1">
      <c r="A41" s="168"/>
      <c r="B41" s="59" t="s">
        <v>58</v>
      </c>
      <c r="C41" s="183" t="s">
        <v>188</v>
      </c>
      <c r="F41" s="161"/>
      <c r="G41" s="161"/>
      <c r="H41" s="161"/>
      <c r="I41" s="161"/>
      <c r="J41" s="161"/>
      <c r="K41" s="161"/>
      <c r="N41" s="99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</row>
    <row r="42" ht="15.75" customHeight="1">
      <c r="A42" s="168"/>
      <c r="B42" s="59" t="s">
        <v>61</v>
      </c>
      <c r="C42" s="57" t="s">
        <v>196</v>
      </c>
      <c r="F42" s="161"/>
      <c r="G42" s="161"/>
      <c r="H42" s="161"/>
      <c r="I42" s="161"/>
      <c r="J42" s="161"/>
      <c r="K42" s="161"/>
      <c r="N42" s="99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</row>
    <row r="43" ht="15.75" customHeight="1">
      <c r="A43" s="168"/>
      <c r="B43" s="59" t="s">
        <v>62</v>
      </c>
      <c r="C43" s="183" t="s">
        <v>190</v>
      </c>
      <c r="F43" s="161"/>
      <c r="G43" s="161"/>
      <c r="H43" s="161"/>
      <c r="I43" s="161"/>
      <c r="J43" s="161"/>
      <c r="K43" s="161"/>
      <c r="N43" s="99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</row>
    <row r="44" ht="15.75" customHeight="1">
      <c r="A44" s="168"/>
      <c r="B44" s="59" t="s">
        <v>65</v>
      </c>
      <c r="C44" s="183" t="s">
        <v>191</v>
      </c>
      <c r="F44" s="161"/>
      <c r="G44" s="161"/>
      <c r="H44" s="161"/>
      <c r="I44" s="161"/>
      <c r="J44" s="161"/>
      <c r="K44" s="161"/>
      <c r="N44" s="99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</row>
    <row r="45" ht="15.75" customHeight="1">
      <c r="A45" s="168"/>
      <c r="B45" s="59" t="s">
        <v>43</v>
      </c>
      <c r="C45" s="183" t="s">
        <v>185</v>
      </c>
      <c r="F45" s="161"/>
      <c r="G45" s="161"/>
      <c r="H45" s="161"/>
      <c r="I45" s="161"/>
      <c r="J45" s="161"/>
      <c r="K45" s="161"/>
      <c r="N45" s="99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</row>
    <row r="46" ht="15.75" customHeight="1">
      <c r="A46" s="168"/>
      <c r="B46" s="70" t="s">
        <v>50</v>
      </c>
      <c r="C46" s="183" t="s">
        <v>186</v>
      </c>
      <c r="F46" s="161"/>
      <c r="G46" s="161"/>
      <c r="H46" s="161"/>
      <c r="I46" s="161"/>
      <c r="J46" s="161"/>
      <c r="K46" s="161"/>
      <c r="N46" s="99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</row>
    <row r="47" ht="15.75" customHeight="1">
      <c r="A47" s="168"/>
      <c r="B47" s="70" t="s">
        <v>54</v>
      </c>
      <c r="C47" s="183" t="s">
        <v>187</v>
      </c>
      <c r="F47" s="161"/>
      <c r="G47" s="161"/>
      <c r="H47" s="161"/>
      <c r="I47" s="161"/>
      <c r="J47" s="161"/>
      <c r="K47" s="161"/>
      <c r="N47" s="99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</row>
    <row r="48" ht="15.75" customHeight="1">
      <c r="A48" s="168"/>
      <c r="B48" s="70" t="s">
        <v>58</v>
      </c>
      <c r="C48" s="183" t="s">
        <v>188</v>
      </c>
      <c r="F48" s="161"/>
      <c r="G48" s="161"/>
      <c r="H48" s="161"/>
      <c r="I48" s="161"/>
      <c r="J48" s="161"/>
      <c r="K48" s="161"/>
      <c r="N48" s="99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</row>
    <row r="49" ht="15.75" customHeight="1">
      <c r="A49" s="35"/>
      <c r="B49" s="59" t="s">
        <v>62</v>
      </c>
      <c r="C49" s="183" t="s">
        <v>190</v>
      </c>
      <c r="F49" s="161"/>
      <c r="G49" s="161"/>
      <c r="H49" s="161"/>
      <c r="I49" s="161"/>
      <c r="J49" s="161"/>
      <c r="K49" s="161"/>
      <c r="N49" s="99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</row>
    <row r="50" ht="15.75" customHeight="1">
      <c r="A50" s="161"/>
      <c r="B50" s="161"/>
      <c r="C50" s="161"/>
      <c r="F50" s="161"/>
      <c r="G50" s="161"/>
      <c r="H50" s="161"/>
      <c r="I50" s="161"/>
      <c r="J50" s="161"/>
      <c r="K50" s="161"/>
      <c r="N50" s="99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</row>
    <row r="51" ht="15.75" customHeight="1">
      <c r="A51" s="161"/>
      <c r="B51" s="161"/>
      <c r="C51" s="161"/>
      <c r="F51" s="161"/>
      <c r="G51" s="161"/>
      <c r="H51" s="161"/>
      <c r="I51" s="161"/>
      <c r="J51" s="161"/>
      <c r="K51" s="161"/>
      <c r="N51" s="99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</row>
    <row r="52" ht="15.75" customHeight="1">
      <c r="A52" s="187">
        <v>15590.0</v>
      </c>
      <c r="B52" s="80" t="s">
        <v>59</v>
      </c>
      <c r="C52" s="80" t="s">
        <v>200</v>
      </c>
      <c r="F52" s="161"/>
      <c r="G52" s="161"/>
      <c r="H52" s="161"/>
      <c r="I52" s="161"/>
      <c r="J52" s="161"/>
      <c r="K52" s="161"/>
      <c r="N52" s="99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</row>
    <row r="53" ht="15.75" customHeight="1">
      <c r="A53" s="168"/>
      <c r="B53" s="80" t="s">
        <v>60</v>
      </c>
      <c r="C53" s="80" t="s">
        <v>201</v>
      </c>
      <c r="F53" s="161"/>
      <c r="G53" s="161"/>
      <c r="H53" s="161"/>
      <c r="I53" s="161"/>
      <c r="J53" s="161"/>
      <c r="K53" s="161"/>
      <c r="N53" s="99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</row>
    <row r="54" ht="15.75" customHeight="1">
      <c r="A54" s="168"/>
      <c r="B54" s="80" t="s">
        <v>72</v>
      </c>
      <c r="C54" s="80" t="s">
        <v>202</v>
      </c>
      <c r="F54" s="161"/>
      <c r="G54" s="161"/>
      <c r="H54" s="161"/>
      <c r="I54" s="161"/>
      <c r="J54" s="161"/>
      <c r="K54" s="161"/>
      <c r="N54" s="99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</row>
    <row r="55" ht="15.75" customHeight="1">
      <c r="A55" s="168"/>
      <c r="B55" s="80" t="s">
        <v>77</v>
      </c>
      <c r="C55" s="80" t="s">
        <v>203</v>
      </c>
      <c r="F55" s="161"/>
      <c r="G55" s="161"/>
      <c r="H55" s="161"/>
      <c r="I55" s="161"/>
      <c r="J55" s="161"/>
      <c r="K55" s="161"/>
      <c r="N55" s="99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</row>
    <row r="56" ht="15.75" customHeight="1">
      <c r="A56" s="168"/>
      <c r="B56" s="80" t="s">
        <v>81</v>
      </c>
      <c r="C56" s="80" t="s">
        <v>204</v>
      </c>
      <c r="F56" s="161"/>
      <c r="G56" s="161"/>
      <c r="H56" s="161"/>
      <c r="I56" s="161"/>
      <c r="J56" s="161"/>
      <c r="K56" s="161"/>
      <c r="N56" s="99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</row>
    <row r="57" ht="15.75" customHeight="1">
      <c r="A57" s="168"/>
      <c r="B57" s="80" t="s">
        <v>84</v>
      </c>
      <c r="C57" s="80" t="s">
        <v>205</v>
      </c>
      <c r="F57" s="161"/>
      <c r="G57" s="161"/>
      <c r="H57" s="161"/>
      <c r="I57" s="161"/>
      <c r="J57" s="161"/>
      <c r="K57" s="161"/>
      <c r="N57" s="99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</row>
    <row r="58" ht="15.75" customHeight="1">
      <c r="A58" s="168"/>
      <c r="B58" s="18" t="s">
        <v>63</v>
      </c>
      <c r="C58" s="183" t="s">
        <v>206</v>
      </c>
      <c r="F58" s="161"/>
      <c r="G58" s="161"/>
      <c r="H58" s="161"/>
      <c r="I58" s="161"/>
      <c r="J58" s="161"/>
      <c r="K58" s="161"/>
      <c r="N58" s="99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</row>
    <row r="59" ht="15.75" customHeight="1">
      <c r="A59" s="168"/>
      <c r="B59" s="18" t="s">
        <v>73</v>
      </c>
      <c r="C59" s="183" t="s">
        <v>207</v>
      </c>
      <c r="F59" s="161"/>
      <c r="G59" s="161"/>
      <c r="H59" s="161"/>
      <c r="I59" s="161"/>
      <c r="J59" s="161"/>
      <c r="K59" s="161"/>
      <c r="N59" s="99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</row>
    <row r="60" ht="15.75" customHeight="1">
      <c r="A60" s="168"/>
      <c r="B60" s="18" t="s">
        <v>78</v>
      </c>
      <c r="C60" s="183" t="s">
        <v>208</v>
      </c>
      <c r="F60" s="161"/>
      <c r="G60" s="161"/>
      <c r="H60" s="161"/>
      <c r="I60" s="161"/>
      <c r="J60" s="161"/>
      <c r="K60" s="161"/>
      <c r="N60" s="99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</row>
    <row r="61" ht="15.75" customHeight="1">
      <c r="A61" s="168"/>
      <c r="B61" s="80" t="s">
        <v>82</v>
      </c>
      <c r="C61" s="80" t="s">
        <v>209</v>
      </c>
      <c r="F61" s="161"/>
      <c r="G61" s="161"/>
      <c r="H61" s="161"/>
      <c r="I61" s="161"/>
      <c r="J61" s="161"/>
      <c r="K61" s="161"/>
      <c r="N61" s="99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</row>
    <row r="62" ht="15.75" customHeight="1">
      <c r="A62" s="168"/>
      <c r="B62" s="80" t="s">
        <v>85</v>
      </c>
      <c r="C62" s="80" t="s">
        <v>210</v>
      </c>
      <c r="F62" s="161"/>
      <c r="G62" s="161"/>
      <c r="H62" s="161"/>
      <c r="I62" s="161"/>
      <c r="J62" s="161"/>
      <c r="K62" s="161"/>
      <c r="N62" s="99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</row>
    <row r="63" ht="15.75" customHeight="1">
      <c r="A63" s="168"/>
      <c r="B63" s="80" t="s">
        <v>87</v>
      </c>
      <c r="C63" s="84" t="s">
        <v>211</v>
      </c>
      <c r="F63" s="161"/>
      <c r="G63" s="161"/>
      <c r="H63" s="161"/>
      <c r="I63" s="161"/>
      <c r="J63" s="161"/>
      <c r="K63" s="161"/>
      <c r="N63" s="99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</row>
    <row r="64" ht="15.75" customHeight="1">
      <c r="A64" s="168"/>
      <c r="B64" s="80" t="s">
        <v>88</v>
      </c>
      <c r="C64" s="84" t="s">
        <v>212</v>
      </c>
      <c r="F64" s="161"/>
      <c r="G64" s="161"/>
      <c r="H64" s="161"/>
      <c r="I64" s="161"/>
      <c r="J64" s="161"/>
      <c r="K64" s="161"/>
      <c r="N64" s="99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</row>
    <row r="65" ht="15.75" customHeight="1">
      <c r="A65" s="168"/>
      <c r="B65" s="80" t="s">
        <v>67</v>
      </c>
      <c r="C65" s="80" t="s">
        <v>213</v>
      </c>
      <c r="F65" s="161"/>
      <c r="G65" s="161"/>
      <c r="H65" s="161"/>
      <c r="I65" s="161"/>
      <c r="J65" s="161"/>
      <c r="K65" s="161"/>
      <c r="N65" s="99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</row>
    <row r="66" ht="15.75" customHeight="1">
      <c r="A66" s="168"/>
      <c r="B66" s="80" t="s">
        <v>74</v>
      </c>
      <c r="C66" s="80" t="s">
        <v>214</v>
      </c>
      <c r="F66" s="161"/>
      <c r="G66" s="161"/>
      <c r="H66" s="161"/>
      <c r="I66" s="161"/>
      <c r="J66" s="161"/>
      <c r="K66" s="161"/>
      <c r="N66" s="99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</row>
    <row r="67" ht="15.75" customHeight="1">
      <c r="A67" s="35"/>
      <c r="B67" s="80" t="s">
        <v>79</v>
      </c>
      <c r="C67" s="80" t="s">
        <v>216</v>
      </c>
      <c r="F67" s="161"/>
      <c r="G67" s="161"/>
      <c r="H67" s="161"/>
      <c r="I67" s="161"/>
      <c r="J67" s="161"/>
      <c r="K67" s="161"/>
      <c r="N67" s="99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</row>
    <row r="68" ht="15.75" customHeight="1">
      <c r="A68" s="161"/>
      <c r="B68" s="161"/>
      <c r="C68" s="161"/>
      <c r="F68" s="161"/>
      <c r="G68" s="161"/>
      <c r="H68" s="161"/>
      <c r="I68" s="161"/>
      <c r="J68" s="161"/>
      <c r="K68" s="161"/>
      <c r="N68" s="99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</row>
    <row r="69" ht="15.75" customHeight="1">
      <c r="A69" s="187">
        <v>15590.0</v>
      </c>
      <c r="B69" s="18" t="s">
        <v>122</v>
      </c>
      <c r="C69" s="18" t="s">
        <v>217</v>
      </c>
      <c r="F69" s="161"/>
      <c r="G69" s="161"/>
      <c r="H69" s="161"/>
      <c r="I69" s="161"/>
      <c r="J69" s="161"/>
      <c r="K69" s="161"/>
      <c r="N69" s="99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</row>
    <row r="70" ht="15.75" customHeight="1">
      <c r="A70" s="168"/>
      <c r="B70" s="188" t="s">
        <v>123</v>
      </c>
      <c r="C70" s="84" t="s">
        <v>218</v>
      </c>
      <c r="F70" s="161"/>
      <c r="G70" s="161"/>
      <c r="H70" s="161"/>
      <c r="I70" s="161"/>
      <c r="J70" s="161"/>
      <c r="K70" s="161"/>
      <c r="N70" s="99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</row>
    <row r="71" ht="15.75" customHeight="1">
      <c r="A71" s="168"/>
      <c r="B71" s="188" t="s">
        <v>131</v>
      </c>
      <c r="C71" s="80" t="s">
        <v>219</v>
      </c>
      <c r="F71" s="161"/>
      <c r="G71" s="161"/>
      <c r="H71" s="161"/>
      <c r="I71" s="161"/>
      <c r="J71" s="161"/>
      <c r="K71" s="161"/>
      <c r="N71" s="99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</row>
    <row r="72" ht="15.75" customHeight="1">
      <c r="A72" s="168"/>
      <c r="B72" s="188" t="s">
        <v>136</v>
      </c>
      <c r="C72" s="80" t="s">
        <v>220</v>
      </c>
      <c r="F72" s="161"/>
      <c r="G72" s="161"/>
      <c r="H72" s="161"/>
      <c r="I72" s="161"/>
      <c r="J72" s="161"/>
      <c r="K72" s="161"/>
      <c r="N72" s="99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</row>
    <row r="73" ht="15.75" customHeight="1">
      <c r="A73" s="168"/>
      <c r="B73" s="188" t="s">
        <v>140</v>
      </c>
      <c r="C73" s="80" t="s">
        <v>221</v>
      </c>
      <c r="F73" s="161"/>
      <c r="G73" s="161"/>
      <c r="H73" s="161"/>
      <c r="I73" s="161"/>
      <c r="J73" s="161"/>
      <c r="K73" s="161"/>
      <c r="N73" s="99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</row>
    <row r="74" ht="15.75" customHeight="1">
      <c r="A74" s="168"/>
      <c r="B74" s="188" t="s">
        <v>147</v>
      </c>
      <c r="C74" s="80" t="s">
        <v>222</v>
      </c>
      <c r="F74" s="161"/>
      <c r="G74" s="161"/>
      <c r="H74" s="161"/>
      <c r="I74" s="161"/>
      <c r="J74" s="161"/>
      <c r="K74" s="161"/>
      <c r="N74" s="99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</row>
    <row r="75" ht="15.75" customHeight="1">
      <c r="A75" s="168"/>
      <c r="B75" s="188" t="s">
        <v>155</v>
      </c>
      <c r="C75" s="80" t="s">
        <v>223</v>
      </c>
      <c r="F75" s="161"/>
      <c r="G75" s="161"/>
      <c r="H75" s="161"/>
      <c r="I75" s="161"/>
      <c r="J75" s="161"/>
      <c r="K75" s="161"/>
      <c r="N75" s="99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</row>
    <row r="76" ht="15.75" customHeight="1">
      <c r="A76" s="168"/>
      <c r="B76" s="80" t="s">
        <v>124</v>
      </c>
      <c r="C76" s="189" t="s">
        <v>224</v>
      </c>
      <c r="F76" s="161"/>
      <c r="G76" s="161"/>
      <c r="H76" s="161"/>
      <c r="I76" s="161"/>
      <c r="J76" s="161"/>
      <c r="K76" s="161"/>
      <c r="N76" s="99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</row>
    <row r="77" ht="15.75" customHeight="1">
      <c r="A77" s="168"/>
      <c r="B77" s="190" t="s">
        <v>132</v>
      </c>
      <c r="C77" s="189" t="s">
        <v>225</v>
      </c>
      <c r="F77" s="161"/>
      <c r="G77" s="161"/>
      <c r="H77" s="161"/>
      <c r="I77" s="161"/>
      <c r="J77" s="161"/>
      <c r="K77" s="161"/>
      <c r="N77" s="99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</row>
    <row r="78" ht="15.75" customHeight="1">
      <c r="A78" s="168"/>
      <c r="B78" s="80" t="s">
        <v>137</v>
      </c>
      <c r="C78" s="189" t="s">
        <v>226</v>
      </c>
      <c r="F78" s="161"/>
      <c r="G78" s="161"/>
      <c r="H78" s="161"/>
      <c r="I78" s="161"/>
      <c r="J78" s="161"/>
      <c r="K78" s="161"/>
      <c r="N78" s="99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</row>
    <row r="79" ht="15.75" customHeight="1">
      <c r="A79" s="168"/>
      <c r="B79" s="80" t="s">
        <v>141</v>
      </c>
      <c r="C79" s="189" t="s">
        <v>227</v>
      </c>
      <c r="F79" s="161"/>
      <c r="G79" s="161"/>
      <c r="H79" s="161"/>
      <c r="I79" s="161"/>
      <c r="J79" s="161"/>
      <c r="K79" s="161"/>
      <c r="N79" s="99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</row>
    <row r="80" ht="15.75" customHeight="1">
      <c r="A80" s="168"/>
      <c r="B80" s="188" t="s">
        <v>148</v>
      </c>
      <c r="C80" s="189" t="s">
        <v>228</v>
      </c>
      <c r="F80" s="161"/>
      <c r="G80" s="161"/>
      <c r="H80" s="161"/>
      <c r="I80" s="161"/>
      <c r="J80" s="161"/>
      <c r="K80" s="161"/>
      <c r="N80" s="99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</row>
    <row r="81" ht="15.75" customHeight="1">
      <c r="A81" s="168"/>
      <c r="B81" s="188" t="s">
        <v>156</v>
      </c>
      <c r="C81" s="189" t="s">
        <v>229</v>
      </c>
      <c r="F81" s="161"/>
      <c r="G81" s="161"/>
      <c r="H81" s="161"/>
      <c r="I81" s="161"/>
      <c r="J81" s="161"/>
      <c r="K81" s="161"/>
      <c r="N81" s="99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</row>
    <row r="82" ht="15.75" customHeight="1">
      <c r="A82" s="168"/>
      <c r="B82" s="80" t="s">
        <v>67</v>
      </c>
      <c r="C82" s="189" t="s">
        <v>230</v>
      </c>
      <c r="F82" s="161"/>
      <c r="G82" s="161"/>
      <c r="H82" s="161"/>
      <c r="I82" s="161"/>
      <c r="J82" s="161"/>
      <c r="K82" s="161"/>
      <c r="N82" s="99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</row>
    <row r="83" ht="15.75" customHeight="1">
      <c r="A83" s="168"/>
      <c r="B83" s="191" t="s">
        <v>133</v>
      </c>
      <c r="C83" s="189" t="s">
        <v>231</v>
      </c>
      <c r="F83" s="161"/>
      <c r="G83" s="161"/>
      <c r="H83" s="161"/>
      <c r="I83" s="161"/>
      <c r="J83" s="161"/>
      <c r="K83" s="161"/>
      <c r="N83" s="99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</row>
    <row r="84" ht="15.75" customHeight="1">
      <c r="A84" s="168"/>
      <c r="B84" s="80" t="s">
        <v>138</v>
      </c>
      <c r="C84" s="189" t="s">
        <v>232</v>
      </c>
      <c r="F84" s="161"/>
      <c r="G84" s="161"/>
      <c r="H84" s="161"/>
      <c r="I84" s="161"/>
      <c r="J84" s="161"/>
      <c r="K84" s="161"/>
      <c r="N84" s="99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</row>
    <row r="85" ht="15.75" customHeight="1">
      <c r="A85" s="168"/>
      <c r="B85" s="192" t="s">
        <v>142</v>
      </c>
      <c r="C85" s="189" t="s">
        <v>233</v>
      </c>
      <c r="F85" s="161"/>
      <c r="G85" s="161"/>
      <c r="H85" s="161"/>
      <c r="I85" s="161"/>
      <c r="J85" s="161"/>
      <c r="K85" s="161"/>
      <c r="N85" s="99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</row>
    <row r="86" ht="15.75" customHeight="1">
      <c r="A86" s="168"/>
      <c r="B86" s="192" t="s">
        <v>150</v>
      </c>
      <c r="C86" s="189" t="s">
        <v>234</v>
      </c>
      <c r="F86" s="161"/>
      <c r="G86" s="161"/>
      <c r="H86" s="161"/>
      <c r="I86" s="161"/>
      <c r="J86" s="161"/>
      <c r="K86" s="161"/>
      <c r="N86" s="99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</row>
    <row r="87" ht="15.75" customHeight="1">
      <c r="A87" s="168"/>
      <c r="B87" s="80" t="s">
        <v>157</v>
      </c>
      <c r="C87" s="189" t="s">
        <v>235</v>
      </c>
      <c r="F87" s="161"/>
      <c r="G87" s="161"/>
      <c r="H87" s="161"/>
      <c r="I87" s="161"/>
      <c r="J87" s="161"/>
      <c r="K87" s="161"/>
      <c r="N87" s="99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</row>
    <row r="88" ht="15.75" customHeight="1">
      <c r="A88" s="168"/>
      <c r="B88" s="192" t="s">
        <v>160</v>
      </c>
      <c r="C88" s="189" t="s">
        <v>236</v>
      </c>
      <c r="F88" s="161"/>
      <c r="G88" s="161"/>
      <c r="H88" s="161"/>
      <c r="I88" s="161"/>
      <c r="J88" s="161"/>
      <c r="K88" s="161"/>
      <c r="N88" s="99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</row>
    <row r="89" ht="15.75" customHeight="1">
      <c r="A89" s="168"/>
      <c r="B89" s="192" t="s">
        <v>161</v>
      </c>
      <c r="C89" s="189" t="s">
        <v>237</v>
      </c>
      <c r="F89" s="161"/>
      <c r="G89" s="161"/>
      <c r="H89" s="161"/>
      <c r="I89" s="161"/>
      <c r="J89" s="161"/>
      <c r="K89" s="161"/>
      <c r="N89" s="99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</row>
    <row r="90" ht="15.75" customHeight="1">
      <c r="A90" s="168"/>
      <c r="B90" s="192" t="s">
        <v>163</v>
      </c>
      <c r="C90" s="189" t="s">
        <v>238</v>
      </c>
      <c r="F90" s="161"/>
      <c r="G90" s="161"/>
      <c r="H90" s="161"/>
      <c r="I90" s="161"/>
      <c r="J90" s="161"/>
      <c r="K90" s="161"/>
      <c r="N90" s="99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</row>
    <row r="91" ht="15.75" customHeight="1">
      <c r="A91" s="168"/>
      <c r="B91" s="80" t="s">
        <v>164</v>
      </c>
      <c r="C91" s="189" t="s">
        <v>239</v>
      </c>
      <c r="F91" s="161"/>
      <c r="G91" s="161"/>
      <c r="H91" s="161"/>
      <c r="I91" s="161"/>
      <c r="J91" s="161"/>
      <c r="K91" s="161"/>
      <c r="N91" s="99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</row>
    <row r="92" ht="15.75" customHeight="1">
      <c r="A92" s="168"/>
      <c r="B92" s="188" t="s">
        <v>125</v>
      </c>
      <c r="C92" s="84" t="s">
        <v>240</v>
      </c>
      <c r="F92" s="161"/>
      <c r="G92" s="161"/>
      <c r="H92" s="161"/>
      <c r="I92" s="161"/>
      <c r="J92" s="161"/>
      <c r="K92" s="161"/>
      <c r="N92" s="99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</row>
    <row r="93" ht="15.75" customHeight="1">
      <c r="A93" s="168"/>
      <c r="B93" s="80" t="s">
        <v>134</v>
      </c>
      <c r="C93" s="80" t="s">
        <v>241</v>
      </c>
      <c r="F93" s="161"/>
      <c r="G93" s="161"/>
      <c r="H93" s="161"/>
      <c r="I93" s="161"/>
      <c r="J93" s="161"/>
      <c r="K93" s="161"/>
      <c r="N93" s="99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</row>
    <row r="94" ht="15.75" customHeight="1">
      <c r="A94" s="168"/>
      <c r="B94" s="188" t="s">
        <v>126</v>
      </c>
      <c r="C94" s="84" t="s">
        <v>242</v>
      </c>
      <c r="F94" s="161"/>
      <c r="G94" s="161"/>
      <c r="H94" s="161"/>
      <c r="I94" s="161"/>
      <c r="J94" s="161"/>
      <c r="K94" s="161"/>
      <c r="N94" s="99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</row>
    <row r="95" ht="15.75" customHeight="1">
      <c r="A95" s="168"/>
      <c r="B95" s="188" t="s">
        <v>127</v>
      </c>
      <c r="C95" s="84" t="s">
        <v>243</v>
      </c>
      <c r="F95" s="161"/>
      <c r="G95" s="161"/>
      <c r="H95" s="161"/>
      <c r="I95" s="161"/>
      <c r="J95" s="161"/>
      <c r="K95" s="161"/>
      <c r="N95" s="99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</row>
    <row r="96" ht="15.75" customHeight="1">
      <c r="A96" s="168"/>
      <c r="B96" s="80" t="s">
        <v>128</v>
      </c>
      <c r="C96" s="189" t="s">
        <v>244</v>
      </c>
      <c r="F96" s="161"/>
      <c r="G96" s="161"/>
      <c r="H96" s="161"/>
      <c r="I96" s="161"/>
      <c r="J96" s="161"/>
      <c r="K96" s="161"/>
      <c r="N96" s="99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</row>
    <row r="97" ht="15.75" customHeight="1">
      <c r="A97" s="168"/>
      <c r="B97" s="80" t="s">
        <v>129</v>
      </c>
      <c r="C97" s="193" t="s">
        <v>245</v>
      </c>
      <c r="F97" s="161"/>
      <c r="G97" s="161"/>
      <c r="H97" s="161"/>
      <c r="I97" s="161"/>
      <c r="J97" s="161"/>
      <c r="K97" s="161"/>
      <c r="N97" s="99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</row>
    <row r="98" ht="15.75" customHeight="1">
      <c r="A98" s="168"/>
      <c r="B98" s="80" t="s">
        <v>135</v>
      </c>
      <c r="C98" s="193" t="s">
        <v>246</v>
      </c>
      <c r="F98" s="161"/>
      <c r="G98" s="161"/>
      <c r="H98" s="161"/>
      <c r="I98" s="161"/>
      <c r="J98" s="161"/>
      <c r="K98" s="161"/>
      <c r="N98" s="99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</row>
    <row r="99" ht="15.75" customHeight="1">
      <c r="A99" s="168"/>
      <c r="B99" s="80" t="s">
        <v>139</v>
      </c>
      <c r="C99" s="84" t="s">
        <v>242</v>
      </c>
      <c r="F99" s="161"/>
      <c r="G99" s="161"/>
      <c r="H99" s="161"/>
      <c r="I99" s="161"/>
      <c r="J99" s="161"/>
      <c r="K99" s="161"/>
      <c r="N99" s="99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</row>
    <row r="100" ht="15.75" customHeight="1">
      <c r="A100" s="168"/>
      <c r="B100" s="80" t="s">
        <v>143</v>
      </c>
      <c r="C100" s="84" t="s">
        <v>247</v>
      </c>
      <c r="F100" s="161"/>
      <c r="G100" s="161"/>
      <c r="H100" s="161"/>
      <c r="I100" s="161"/>
      <c r="J100" s="161"/>
      <c r="K100" s="161"/>
      <c r="N100" s="99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</row>
    <row r="101" ht="15.75" customHeight="1">
      <c r="A101" s="35"/>
      <c r="B101" s="80" t="s">
        <v>248</v>
      </c>
      <c r="C101" s="80" t="s">
        <v>249</v>
      </c>
      <c r="F101" s="161"/>
      <c r="G101" s="161"/>
      <c r="H101" s="161"/>
      <c r="I101" s="161"/>
      <c r="J101" s="161"/>
      <c r="K101" s="161"/>
      <c r="N101" s="99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</row>
    <row r="102" ht="15.75" customHeight="1">
      <c r="A102" s="161"/>
      <c r="B102" s="161"/>
      <c r="C102" s="161"/>
      <c r="F102" s="161"/>
      <c r="G102" s="161"/>
      <c r="H102" s="161"/>
      <c r="I102" s="161"/>
      <c r="J102" s="161"/>
      <c r="K102" s="161"/>
      <c r="N102" s="99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</row>
    <row r="103" ht="15.75" customHeight="1">
      <c r="A103" s="161"/>
      <c r="B103" s="161"/>
      <c r="C103" s="161"/>
      <c r="F103" s="161"/>
      <c r="G103" s="161"/>
      <c r="H103" s="161"/>
      <c r="I103" s="161"/>
      <c r="J103" s="161"/>
      <c r="K103" s="161"/>
      <c r="N103" s="99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</row>
    <row r="104" ht="15.75" customHeight="1">
      <c r="A104" s="161"/>
      <c r="B104" s="161"/>
      <c r="C104" s="161"/>
      <c r="F104" s="161"/>
      <c r="G104" s="161"/>
      <c r="H104" s="161"/>
      <c r="I104" s="161"/>
      <c r="J104" s="161"/>
      <c r="K104" s="161"/>
      <c r="N104" s="99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</row>
    <row r="105" ht="15.75" customHeight="1">
      <c r="A105" s="161"/>
      <c r="B105" s="161"/>
      <c r="C105" s="161"/>
      <c r="F105" s="161"/>
      <c r="G105" s="161"/>
      <c r="H105" s="161"/>
      <c r="I105" s="161"/>
      <c r="J105" s="161"/>
      <c r="K105" s="161"/>
      <c r="N105" s="99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</row>
    <row r="106" ht="15.75" customHeight="1">
      <c r="A106" s="161"/>
      <c r="B106" s="161"/>
      <c r="C106" s="161"/>
      <c r="F106" s="161"/>
      <c r="G106" s="161"/>
      <c r="H106" s="161"/>
      <c r="I106" s="161"/>
      <c r="J106" s="161"/>
      <c r="K106" s="161"/>
      <c r="N106" s="99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</row>
    <row r="107" ht="15.75" customHeight="1">
      <c r="A107" s="161"/>
      <c r="B107" s="161"/>
      <c r="C107" s="161"/>
      <c r="F107" s="161"/>
      <c r="G107" s="161"/>
      <c r="H107" s="161"/>
      <c r="I107" s="161"/>
      <c r="J107" s="161"/>
      <c r="K107" s="161"/>
      <c r="N107" s="99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</row>
    <row r="108" ht="15.75" customHeight="1">
      <c r="A108" s="161"/>
      <c r="B108" s="161"/>
      <c r="C108" s="161"/>
      <c r="F108" s="161"/>
      <c r="G108" s="161"/>
      <c r="H108" s="161"/>
      <c r="I108" s="161"/>
      <c r="J108" s="161"/>
      <c r="K108" s="161"/>
      <c r="N108" s="99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</row>
    <row r="109" ht="15.75" customHeight="1">
      <c r="A109" s="161"/>
      <c r="B109" s="161"/>
      <c r="C109" s="161"/>
      <c r="F109" s="161"/>
      <c r="G109" s="161"/>
      <c r="H109" s="161"/>
      <c r="I109" s="161"/>
      <c r="J109" s="161"/>
      <c r="K109" s="161"/>
      <c r="N109" s="99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</row>
    <row r="110" ht="15.75" customHeight="1">
      <c r="A110" s="161"/>
      <c r="B110" s="161"/>
      <c r="C110" s="161"/>
      <c r="F110" s="161"/>
      <c r="G110" s="161"/>
      <c r="H110" s="161"/>
      <c r="I110" s="161"/>
      <c r="J110" s="161"/>
      <c r="K110" s="161"/>
      <c r="N110" s="99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</row>
    <row r="111" ht="15.75" customHeight="1">
      <c r="A111" s="161"/>
      <c r="B111" s="161"/>
      <c r="C111" s="161"/>
      <c r="F111" s="161"/>
      <c r="G111" s="161"/>
      <c r="H111" s="161"/>
      <c r="I111" s="161"/>
      <c r="J111" s="161"/>
      <c r="K111" s="161"/>
      <c r="N111" s="99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</row>
    <row r="112" ht="15.75" customHeight="1">
      <c r="A112" s="161"/>
      <c r="B112" s="161"/>
      <c r="C112" s="161"/>
      <c r="F112" s="161"/>
      <c r="G112" s="161"/>
      <c r="H112" s="161"/>
      <c r="I112" s="161"/>
      <c r="J112" s="161"/>
      <c r="K112" s="161"/>
      <c r="N112" s="99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</row>
    <row r="113" ht="15.75" customHeight="1">
      <c r="A113" s="161"/>
      <c r="B113" s="161"/>
      <c r="C113" s="161"/>
      <c r="F113" s="161"/>
      <c r="G113" s="161"/>
      <c r="H113" s="161"/>
      <c r="I113" s="161"/>
      <c r="J113" s="161"/>
      <c r="K113" s="161"/>
      <c r="N113" s="99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</row>
    <row r="114" ht="15.75" customHeight="1">
      <c r="A114" s="161"/>
      <c r="B114" s="161"/>
      <c r="C114" s="161"/>
      <c r="F114" s="161"/>
      <c r="G114" s="161"/>
      <c r="H114" s="161"/>
      <c r="I114" s="161"/>
      <c r="J114" s="161"/>
      <c r="K114" s="161"/>
      <c r="N114" s="99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</row>
    <row r="115" ht="15.75" customHeight="1">
      <c r="A115" s="161"/>
      <c r="B115" s="161"/>
      <c r="C115" s="161"/>
      <c r="F115" s="161"/>
      <c r="G115" s="161"/>
      <c r="H115" s="161"/>
      <c r="I115" s="161"/>
      <c r="J115" s="161"/>
      <c r="K115" s="161"/>
      <c r="N115" s="99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</row>
    <row r="116" ht="15.75" customHeight="1">
      <c r="A116" s="161"/>
      <c r="B116" s="161"/>
      <c r="C116" s="161"/>
      <c r="F116" s="161"/>
      <c r="G116" s="161"/>
      <c r="H116" s="161"/>
      <c r="I116" s="161"/>
      <c r="J116" s="161"/>
      <c r="K116" s="161"/>
      <c r="N116" s="99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</row>
    <row r="117" ht="15.75" customHeight="1">
      <c r="A117" s="161"/>
      <c r="B117" s="161"/>
      <c r="C117" s="161"/>
      <c r="F117" s="161"/>
      <c r="G117" s="161"/>
      <c r="H117" s="161"/>
      <c r="I117" s="161"/>
      <c r="J117" s="161"/>
      <c r="K117" s="161"/>
      <c r="N117" s="99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</row>
    <row r="118" ht="15.75" customHeight="1">
      <c r="A118" s="161"/>
      <c r="B118" s="161"/>
      <c r="C118" s="161"/>
      <c r="F118" s="161"/>
      <c r="G118" s="161"/>
      <c r="H118" s="161"/>
      <c r="I118" s="161"/>
      <c r="J118" s="161"/>
      <c r="K118" s="161"/>
      <c r="N118" s="99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</row>
    <row r="119" ht="15.75" customHeight="1">
      <c r="A119" s="161"/>
      <c r="B119" s="161"/>
      <c r="C119" s="161"/>
      <c r="F119" s="161"/>
      <c r="G119" s="161"/>
      <c r="H119" s="161"/>
      <c r="I119" s="161"/>
      <c r="J119" s="161"/>
      <c r="K119" s="161"/>
      <c r="N119" s="99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</row>
    <row r="120" ht="15.75" customHeight="1">
      <c r="A120" s="161"/>
      <c r="B120" s="161"/>
      <c r="C120" s="161"/>
      <c r="F120" s="161"/>
      <c r="G120" s="161"/>
      <c r="H120" s="161"/>
      <c r="I120" s="161"/>
      <c r="J120" s="161"/>
      <c r="K120" s="161"/>
      <c r="N120" s="99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</row>
    <row r="121" ht="15.75" customHeight="1">
      <c r="A121" s="161"/>
      <c r="B121" s="161"/>
      <c r="C121" s="161"/>
      <c r="F121" s="161"/>
      <c r="G121" s="161"/>
      <c r="H121" s="161"/>
      <c r="I121" s="161"/>
      <c r="J121" s="161"/>
      <c r="K121" s="161"/>
      <c r="N121" s="99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</row>
    <row r="122" ht="15.75" customHeight="1">
      <c r="A122" s="161"/>
      <c r="B122" s="161"/>
      <c r="C122" s="161"/>
      <c r="F122" s="161"/>
      <c r="G122" s="161"/>
      <c r="H122" s="161"/>
      <c r="I122" s="161"/>
      <c r="J122" s="161"/>
      <c r="K122" s="161"/>
      <c r="N122" s="99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</row>
    <row r="123" ht="15.75" customHeight="1">
      <c r="A123" s="161"/>
      <c r="B123" s="161"/>
      <c r="C123" s="161"/>
      <c r="F123" s="161"/>
      <c r="G123" s="161"/>
      <c r="H123" s="161"/>
      <c r="I123" s="161"/>
      <c r="J123" s="161"/>
      <c r="K123" s="161"/>
      <c r="N123" s="99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</row>
    <row r="124" ht="15.75" customHeight="1">
      <c r="A124" s="161"/>
      <c r="B124" s="161"/>
      <c r="C124" s="161"/>
      <c r="F124" s="161"/>
      <c r="G124" s="161"/>
      <c r="H124" s="161"/>
      <c r="I124" s="161"/>
      <c r="J124" s="161"/>
      <c r="K124" s="161"/>
      <c r="N124" s="99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</row>
    <row r="125" ht="15.75" customHeight="1">
      <c r="A125" s="161"/>
      <c r="B125" s="161"/>
      <c r="C125" s="161"/>
      <c r="F125" s="161"/>
      <c r="G125" s="161"/>
      <c r="H125" s="161"/>
      <c r="I125" s="161"/>
      <c r="J125" s="161"/>
      <c r="K125" s="161"/>
      <c r="N125" s="99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</row>
    <row r="126" ht="15.75" customHeight="1">
      <c r="A126" s="161"/>
      <c r="B126" s="161"/>
      <c r="C126" s="161"/>
      <c r="F126" s="161"/>
      <c r="G126" s="161"/>
      <c r="H126" s="161"/>
      <c r="I126" s="161"/>
      <c r="J126" s="161"/>
      <c r="K126" s="161"/>
      <c r="N126" s="99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</row>
    <row r="127" ht="15.75" customHeight="1">
      <c r="A127" s="161"/>
      <c r="B127" s="161"/>
      <c r="C127" s="161"/>
      <c r="F127" s="161"/>
      <c r="G127" s="161"/>
      <c r="H127" s="161"/>
      <c r="I127" s="161"/>
      <c r="J127" s="161"/>
      <c r="K127" s="161"/>
      <c r="N127" s="99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</row>
    <row r="128" ht="15.75" customHeight="1">
      <c r="A128" s="161"/>
      <c r="B128" s="161"/>
      <c r="C128" s="161"/>
      <c r="F128" s="161"/>
      <c r="G128" s="161"/>
      <c r="H128" s="161"/>
      <c r="I128" s="161"/>
      <c r="J128" s="161"/>
      <c r="K128" s="161"/>
      <c r="N128" s="99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</row>
    <row r="129" ht="15.75" customHeight="1">
      <c r="A129" s="161"/>
      <c r="B129" s="161"/>
      <c r="C129" s="161"/>
      <c r="F129" s="161"/>
      <c r="G129" s="161"/>
      <c r="H129" s="161"/>
      <c r="I129" s="161"/>
      <c r="J129" s="161"/>
      <c r="K129" s="161"/>
      <c r="N129" s="99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</row>
    <row r="130" ht="15.75" customHeight="1">
      <c r="A130" s="161"/>
      <c r="B130" s="161"/>
      <c r="C130" s="161"/>
      <c r="F130" s="161"/>
      <c r="G130" s="161"/>
      <c r="H130" s="161"/>
      <c r="I130" s="161"/>
      <c r="J130" s="161"/>
      <c r="K130" s="161"/>
      <c r="N130" s="99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</row>
    <row r="131" ht="15.75" customHeight="1">
      <c r="A131" s="161"/>
      <c r="B131" s="161"/>
      <c r="C131" s="161"/>
      <c r="F131" s="161"/>
      <c r="G131" s="161"/>
      <c r="H131" s="161"/>
      <c r="I131" s="161"/>
      <c r="J131" s="161"/>
      <c r="K131" s="161"/>
      <c r="N131" s="99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</row>
    <row r="132" ht="15.75" customHeight="1">
      <c r="A132" s="161"/>
      <c r="B132" s="161"/>
      <c r="C132" s="161"/>
      <c r="F132" s="161"/>
      <c r="G132" s="161"/>
      <c r="H132" s="161"/>
      <c r="I132" s="161"/>
      <c r="J132" s="161"/>
      <c r="K132" s="161"/>
      <c r="N132" s="99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</row>
    <row r="133" ht="15.75" customHeight="1">
      <c r="A133" s="161"/>
      <c r="B133" s="161"/>
      <c r="C133" s="161"/>
      <c r="F133" s="161"/>
      <c r="G133" s="161"/>
      <c r="H133" s="161"/>
      <c r="I133" s="161"/>
      <c r="J133" s="161"/>
      <c r="K133" s="161"/>
      <c r="N133" s="99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</row>
    <row r="134" ht="15.75" customHeight="1">
      <c r="A134" s="161"/>
      <c r="B134" s="161"/>
      <c r="C134" s="161"/>
      <c r="F134" s="161"/>
      <c r="G134" s="161"/>
      <c r="H134" s="161"/>
      <c r="I134" s="161"/>
      <c r="J134" s="161"/>
      <c r="K134" s="161"/>
      <c r="N134" s="99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</row>
    <row r="135" ht="15.75" customHeight="1">
      <c r="A135" s="161"/>
      <c r="B135" s="161"/>
      <c r="C135" s="161"/>
      <c r="F135" s="161"/>
      <c r="G135" s="161"/>
      <c r="H135" s="161"/>
      <c r="I135" s="161"/>
      <c r="J135" s="161"/>
      <c r="K135" s="161"/>
      <c r="N135" s="99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</row>
    <row r="136" ht="15.75" customHeight="1">
      <c r="A136" s="161"/>
      <c r="B136" s="161"/>
      <c r="C136" s="161"/>
      <c r="F136" s="161"/>
      <c r="G136" s="161"/>
      <c r="H136" s="161"/>
      <c r="I136" s="161"/>
      <c r="J136" s="161"/>
      <c r="K136" s="161"/>
      <c r="N136" s="99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</row>
    <row r="137" ht="15.75" customHeight="1">
      <c r="A137" s="161"/>
      <c r="B137" s="161"/>
      <c r="C137" s="161"/>
      <c r="F137" s="161"/>
      <c r="G137" s="161"/>
      <c r="H137" s="161"/>
      <c r="I137" s="161"/>
      <c r="J137" s="161"/>
      <c r="K137" s="161"/>
      <c r="N137" s="99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</row>
    <row r="138" ht="15.75" customHeight="1">
      <c r="A138" s="161"/>
      <c r="B138" s="161"/>
      <c r="C138" s="161"/>
      <c r="F138" s="161"/>
      <c r="G138" s="161"/>
      <c r="H138" s="161"/>
      <c r="I138" s="161"/>
      <c r="J138" s="161"/>
      <c r="K138" s="161"/>
      <c r="N138" s="99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</row>
    <row r="139" ht="15.75" customHeight="1">
      <c r="A139" s="161"/>
      <c r="B139" s="161"/>
      <c r="C139" s="161"/>
      <c r="F139" s="161"/>
      <c r="G139" s="161"/>
      <c r="H139" s="161"/>
      <c r="I139" s="161"/>
      <c r="J139" s="161"/>
      <c r="K139" s="161"/>
      <c r="N139" s="99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</row>
    <row r="140" ht="15.75" customHeight="1">
      <c r="A140" s="161"/>
      <c r="B140" s="161"/>
      <c r="C140" s="161"/>
      <c r="F140" s="161"/>
      <c r="G140" s="161"/>
      <c r="H140" s="161"/>
      <c r="I140" s="161"/>
      <c r="J140" s="161"/>
      <c r="K140" s="161"/>
      <c r="N140" s="99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</row>
    <row r="141" ht="15.75" customHeight="1">
      <c r="A141" s="161"/>
      <c r="B141" s="161"/>
      <c r="C141" s="161"/>
      <c r="F141" s="161"/>
      <c r="G141" s="161"/>
      <c r="H141" s="161"/>
      <c r="I141" s="161"/>
      <c r="J141" s="161"/>
      <c r="K141" s="161"/>
      <c r="N141" s="99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</row>
    <row r="142" ht="15.75" customHeight="1">
      <c r="A142" s="161"/>
      <c r="B142" s="161"/>
      <c r="C142" s="161"/>
      <c r="F142" s="161"/>
      <c r="G142" s="161"/>
      <c r="H142" s="161"/>
      <c r="I142" s="161"/>
      <c r="J142" s="161"/>
      <c r="K142" s="161"/>
      <c r="N142" s="99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</row>
    <row r="143" ht="15.75" customHeight="1">
      <c r="A143" s="161"/>
      <c r="B143" s="161"/>
      <c r="C143" s="161"/>
      <c r="F143" s="161"/>
      <c r="G143" s="161"/>
      <c r="H143" s="161"/>
      <c r="I143" s="161"/>
      <c r="J143" s="161"/>
      <c r="K143" s="161"/>
      <c r="N143" s="99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</row>
    <row r="144" ht="15.75" customHeight="1">
      <c r="A144" s="161"/>
      <c r="B144" s="161"/>
      <c r="C144" s="161"/>
      <c r="F144" s="161"/>
      <c r="G144" s="161"/>
      <c r="H144" s="161"/>
      <c r="I144" s="161"/>
      <c r="J144" s="161"/>
      <c r="K144" s="161"/>
      <c r="N144" s="99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</row>
    <row r="145" ht="15.75" customHeight="1">
      <c r="A145" s="161"/>
      <c r="B145" s="161"/>
      <c r="C145" s="161"/>
      <c r="F145" s="161"/>
      <c r="G145" s="161"/>
      <c r="H145" s="161"/>
      <c r="I145" s="161"/>
      <c r="J145" s="161"/>
      <c r="K145" s="161"/>
      <c r="N145" s="99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</row>
    <row r="146" ht="15.75" customHeight="1">
      <c r="A146" s="161"/>
      <c r="B146" s="161"/>
      <c r="C146" s="161"/>
      <c r="F146" s="161"/>
      <c r="G146" s="161"/>
      <c r="H146" s="161"/>
      <c r="I146" s="161"/>
      <c r="J146" s="161"/>
      <c r="K146" s="161"/>
      <c r="N146" s="99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</row>
    <row r="147" ht="15.75" customHeight="1">
      <c r="A147" s="161"/>
      <c r="B147" s="161"/>
      <c r="C147" s="161"/>
      <c r="F147" s="161"/>
      <c r="G147" s="161"/>
      <c r="H147" s="161"/>
      <c r="I147" s="161"/>
      <c r="J147" s="161"/>
      <c r="K147" s="161"/>
      <c r="N147" s="99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</row>
    <row r="148" ht="15.75" customHeight="1">
      <c r="A148" s="161"/>
      <c r="B148" s="161"/>
      <c r="C148" s="161"/>
      <c r="F148" s="161"/>
      <c r="G148" s="161"/>
      <c r="H148" s="161"/>
      <c r="I148" s="161"/>
      <c r="J148" s="161"/>
      <c r="K148" s="161"/>
      <c r="N148" s="99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</row>
    <row r="149" ht="15.75" customHeight="1">
      <c r="A149" s="161"/>
      <c r="B149" s="161"/>
      <c r="C149" s="161"/>
      <c r="F149" s="161"/>
      <c r="G149" s="161"/>
      <c r="H149" s="161"/>
      <c r="I149" s="161"/>
      <c r="J149" s="161"/>
      <c r="K149" s="161"/>
      <c r="N149" s="99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</row>
    <row r="150" ht="15.75" customHeight="1">
      <c r="A150" s="161"/>
      <c r="B150" s="161"/>
      <c r="C150" s="161"/>
      <c r="F150" s="161"/>
      <c r="G150" s="161"/>
      <c r="H150" s="161"/>
      <c r="I150" s="161"/>
      <c r="J150" s="161"/>
      <c r="K150" s="161"/>
      <c r="N150" s="99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</row>
    <row r="151" ht="15.75" customHeight="1">
      <c r="A151" s="161"/>
      <c r="B151" s="161"/>
      <c r="C151" s="161"/>
      <c r="F151" s="161"/>
      <c r="G151" s="161"/>
      <c r="H151" s="161"/>
      <c r="I151" s="161"/>
      <c r="J151" s="161"/>
      <c r="K151" s="161"/>
      <c r="N151" s="99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</row>
    <row r="152" ht="15.75" customHeight="1">
      <c r="A152" s="161"/>
      <c r="B152" s="161"/>
      <c r="C152" s="161"/>
      <c r="F152" s="161"/>
      <c r="G152" s="161"/>
      <c r="H152" s="161"/>
      <c r="I152" s="161"/>
      <c r="J152" s="161"/>
      <c r="K152" s="161"/>
      <c r="N152" s="99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</row>
    <row r="153" ht="15.75" customHeight="1">
      <c r="A153" s="161"/>
      <c r="B153" s="161"/>
      <c r="C153" s="161"/>
      <c r="F153" s="161"/>
      <c r="G153" s="161"/>
      <c r="H153" s="161"/>
      <c r="I153" s="161"/>
      <c r="J153" s="161"/>
      <c r="K153" s="161"/>
      <c r="N153" s="99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</row>
    <row r="154" ht="15.75" customHeight="1">
      <c r="A154" s="161"/>
      <c r="B154" s="161"/>
      <c r="C154" s="161"/>
      <c r="F154" s="161"/>
      <c r="G154" s="161"/>
      <c r="H154" s="161"/>
      <c r="I154" s="161"/>
      <c r="J154" s="161"/>
      <c r="K154" s="161"/>
      <c r="N154" s="99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</row>
    <row r="155" ht="15.75" customHeight="1">
      <c r="A155" s="161"/>
      <c r="B155" s="161"/>
      <c r="C155" s="161"/>
      <c r="F155" s="161"/>
      <c r="G155" s="161"/>
      <c r="H155" s="161"/>
      <c r="I155" s="161"/>
      <c r="J155" s="161"/>
      <c r="K155" s="161"/>
      <c r="N155" s="99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</row>
    <row r="156" ht="15.75" customHeight="1">
      <c r="A156" s="161"/>
      <c r="B156" s="161"/>
      <c r="C156" s="161"/>
      <c r="F156" s="161"/>
      <c r="G156" s="161"/>
      <c r="H156" s="161"/>
      <c r="I156" s="161"/>
      <c r="J156" s="161"/>
      <c r="K156" s="161"/>
      <c r="N156" s="99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</row>
    <row r="157" ht="15.75" customHeight="1">
      <c r="A157" s="161"/>
      <c r="B157" s="161"/>
      <c r="C157" s="161"/>
      <c r="F157" s="161"/>
      <c r="G157" s="161"/>
      <c r="H157" s="161"/>
      <c r="I157" s="161"/>
      <c r="J157" s="161"/>
      <c r="K157" s="161"/>
      <c r="N157" s="99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</row>
    <row r="158" ht="15.75" customHeight="1">
      <c r="A158" s="161"/>
      <c r="B158" s="161"/>
      <c r="C158" s="161"/>
      <c r="F158" s="161"/>
      <c r="G158" s="161"/>
      <c r="H158" s="161"/>
      <c r="I158" s="161"/>
      <c r="J158" s="161"/>
      <c r="K158" s="161"/>
      <c r="N158" s="99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</row>
    <row r="159" ht="15.75" customHeight="1">
      <c r="A159" s="161"/>
      <c r="B159" s="161"/>
      <c r="C159" s="161"/>
      <c r="F159" s="161"/>
      <c r="G159" s="161"/>
      <c r="H159" s="161"/>
      <c r="I159" s="161"/>
      <c r="J159" s="161"/>
      <c r="K159" s="161"/>
      <c r="N159" s="99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</row>
    <row r="160" ht="15.75" customHeight="1">
      <c r="A160" s="161"/>
      <c r="B160" s="161"/>
      <c r="C160" s="161"/>
      <c r="F160" s="161"/>
      <c r="G160" s="161"/>
      <c r="H160" s="161"/>
      <c r="I160" s="161"/>
      <c r="J160" s="161"/>
      <c r="K160" s="161"/>
      <c r="N160" s="99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</row>
    <row r="161" ht="15.75" customHeight="1">
      <c r="A161" s="161"/>
      <c r="B161" s="161"/>
      <c r="C161" s="161"/>
      <c r="F161" s="161"/>
      <c r="G161" s="161"/>
      <c r="H161" s="161"/>
      <c r="I161" s="161"/>
      <c r="J161" s="161"/>
      <c r="K161" s="161"/>
      <c r="N161" s="99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</row>
    <row r="162" ht="15.75" customHeight="1">
      <c r="A162" s="161"/>
      <c r="B162" s="161"/>
      <c r="C162" s="161"/>
      <c r="F162" s="161"/>
      <c r="G162" s="161"/>
      <c r="H162" s="161"/>
      <c r="I162" s="161"/>
      <c r="J162" s="161"/>
      <c r="K162" s="161"/>
      <c r="N162" s="99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</row>
    <row r="163" ht="15.75" customHeight="1">
      <c r="A163" s="161"/>
      <c r="B163" s="161"/>
      <c r="C163" s="161"/>
      <c r="F163" s="161"/>
      <c r="G163" s="161"/>
      <c r="H163" s="161"/>
      <c r="I163" s="161"/>
      <c r="J163" s="161"/>
      <c r="K163" s="161"/>
      <c r="N163" s="99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</row>
    <row r="164" ht="15.75" customHeight="1">
      <c r="A164" s="161"/>
      <c r="B164" s="161"/>
      <c r="C164" s="161"/>
      <c r="F164" s="161"/>
      <c r="G164" s="161"/>
      <c r="H164" s="161"/>
      <c r="I164" s="161"/>
      <c r="J164" s="161"/>
      <c r="K164" s="161"/>
      <c r="N164" s="99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</row>
    <row r="165" ht="15.75" customHeight="1">
      <c r="A165" s="161"/>
      <c r="B165" s="161"/>
      <c r="C165" s="161"/>
      <c r="F165" s="161"/>
      <c r="G165" s="161"/>
      <c r="H165" s="161"/>
      <c r="I165" s="161"/>
      <c r="J165" s="161"/>
      <c r="K165" s="161"/>
      <c r="N165" s="99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</row>
    <row r="166" ht="15.75" customHeight="1">
      <c r="A166" s="161"/>
      <c r="B166" s="161"/>
      <c r="C166" s="161"/>
      <c r="F166" s="161"/>
      <c r="G166" s="161"/>
      <c r="H166" s="161"/>
      <c r="I166" s="161"/>
      <c r="J166" s="161"/>
      <c r="K166" s="161"/>
      <c r="N166" s="99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</row>
    <row r="167" ht="15.75" customHeight="1">
      <c r="A167" s="161"/>
      <c r="B167" s="161"/>
      <c r="C167" s="161"/>
      <c r="F167" s="161"/>
      <c r="G167" s="161"/>
      <c r="H167" s="161"/>
      <c r="I167" s="161"/>
      <c r="J167" s="161"/>
      <c r="K167" s="161"/>
      <c r="N167" s="99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</row>
    <row r="168" ht="15.75" customHeight="1">
      <c r="A168" s="161"/>
      <c r="B168" s="161"/>
      <c r="C168" s="161"/>
      <c r="F168" s="161"/>
      <c r="G168" s="161"/>
      <c r="H168" s="161"/>
      <c r="I168" s="161"/>
      <c r="J168" s="161"/>
      <c r="K168" s="161"/>
      <c r="N168" s="99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</row>
    <row r="169" ht="15.75" customHeight="1">
      <c r="A169" s="161"/>
      <c r="B169" s="161"/>
      <c r="C169" s="161"/>
      <c r="F169" s="161"/>
      <c r="G169" s="161"/>
      <c r="H169" s="161"/>
      <c r="I169" s="161"/>
      <c r="J169" s="161"/>
      <c r="K169" s="161"/>
      <c r="N169" s="99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</row>
    <row r="170" ht="15.75" customHeight="1">
      <c r="A170" s="161"/>
      <c r="B170" s="161"/>
      <c r="C170" s="161"/>
      <c r="F170" s="161"/>
      <c r="G170" s="161"/>
      <c r="H170" s="161"/>
      <c r="I170" s="161"/>
      <c r="J170" s="161"/>
      <c r="K170" s="161"/>
      <c r="N170" s="99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</row>
    <row r="171" ht="15.75" customHeight="1">
      <c r="A171" s="161"/>
      <c r="B171" s="161"/>
      <c r="C171" s="161"/>
      <c r="F171" s="161"/>
      <c r="G171" s="161"/>
      <c r="H171" s="161"/>
      <c r="I171" s="161"/>
      <c r="J171" s="161"/>
      <c r="K171" s="161"/>
      <c r="N171" s="99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</row>
    <row r="172" ht="15.75" customHeight="1">
      <c r="A172" s="161"/>
      <c r="B172" s="161"/>
      <c r="C172" s="161"/>
      <c r="F172" s="161"/>
      <c r="G172" s="161"/>
      <c r="H172" s="161"/>
      <c r="I172" s="161"/>
      <c r="J172" s="161"/>
      <c r="K172" s="161"/>
      <c r="N172" s="99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</row>
    <row r="173" ht="15.75" customHeight="1">
      <c r="A173" s="161"/>
      <c r="B173" s="161"/>
      <c r="C173" s="161"/>
      <c r="F173" s="161"/>
      <c r="G173" s="161"/>
      <c r="H173" s="161"/>
      <c r="I173" s="161"/>
      <c r="J173" s="161"/>
      <c r="K173" s="161"/>
      <c r="N173" s="99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</row>
    <row r="174" ht="15.75" customHeight="1">
      <c r="A174" s="161"/>
      <c r="B174" s="161"/>
      <c r="C174" s="161"/>
      <c r="F174" s="161"/>
      <c r="G174" s="161"/>
      <c r="H174" s="161"/>
      <c r="I174" s="161"/>
      <c r="J174" s="161"/>
      <c r="K174" s="161"/>
      <c r="N174" s="99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</row>
    <row r="175" ht="15.75" customHeight="1">
      <c r="A175" s="161"/>
      <c r="B175" s="161"/>
      <c r="C175" s="161"/>
      <c r="F175" s="161"/>
      <c r="G175" s="161"/>
      <c r="H175" s="161"/>
      <c r="I175" s="161"/>
      <c r="J175" s="161"/>
      <c r="K175" s="161"/>
      <c r="N175" s="99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</row>
    <row r="176" ht="15.75" customHeight="1">
      <c r="A176" s="161"/>
      <c r="B176" s="161"/>
      <c r="C176" s="161"/>
      <c r="F176" s="161"/>
      <c r="G176" s="161"/>
      <c r="H176" s="161"/>
      <c r="I176" s="161"/>
      <c r="J176" s="161"/>
      <c r="K176" s="161"/>
      <c r="N176" s="99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</row>
    <row r="177" ht="15.75" customHeight="1">
      <c r="A177" s="161"/>
      <c r="B177" s="161"/>
      <c r="C177" s="161"/>
      <c r="F177" s="161"/>
      <c r="G177" s="161"/>
      <c r="H177" s="161"/>
      <c r="I177" s="161"/>
      <c r="J177" s="161"/>
      <c r="K177" s="161"/>
      <c r="N177" s="99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</row>
    <row r="178" ht="15.75" customHeight="1">
      <c r="A178" s="161"/>
      <c r="B178" s="161"/>
      <c r="C178" s="161"/>
      <c r="F178" s="161"/>
      <c r="G178" s="161"/>
      <c r="H178" s="161"/>
      <c r="I178" s="161"/>
      <c r="J178" s="161"/>
      <c r="K178" s="161"/>
      <c r="N178" s="99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</row>
    <row r="179" ht="15.75" customHeight="1">
      <c r="A179" s="161"/>
      <c r="B179" s="161"/>
      <c r="C179" s="161"/>
      <c r="F179" s="161"/>
      <c r="G179" s="161"/>
      <c r="H179" s="161"/>
      <c r="I179" s="161"/>
      <c r="J179" s="161"/>
      <c r="K179" s="161"/>
      <c r="N179" s="99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</row>
    <row r="180" ht="15.75" customHeight="1">
      <c r="A180" s="161"/>
      <c r="B180" s="161"/>
      <c r="C180" s="161"/>
      <c r="F180" s="161"/>
      <c r="G180" s="161"/>
      <c r="H180" s="161"/>
      <c r="I180" s="161"/>
      <c r="J180" s="161"/>
      <c r="K180" s="161"/>
      <c r="N180" s="99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</row>
    <row r="181" ht="15.75" customHeight="1">
      <c r="A181" s="161"/>
      <c r="B181" s="161"/>
      <c r="C181" s="161"/>
      <c r="F181" s="161"/>
      <c r="G181" s="161"/>
      <c r="H181" s="161"/>
      <c r="I181" s="161"/>
      <c r="J181" s="161"/>
      <c r="K181" s="161"/>
      <c r="N181" s="99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</row>
    <row r="182" ht="15.75" customHeight="1">
      <c r="A182" s="161"/>
      <c r="B182" s="161"/>
      <c r="C182" s="161"/>
      <c r="F182" s="161"/>
      <c r="G182" s="161"/>
      <c r="H182" s="161"/>
      <c r="I182" s="161"/>
      <c r="J182" s="161"/>
      <c r="K182" s="161"/>
      <c r="N182" s="99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</row>
    <row r="183" ht="15.75" customHeight="1">
      <c r="A183" s="161"/>
      <c r="B183" s="161"/>
      <c r="C183" s="161"/>
      <c r="F183" s="161"/>
      <c r="G183" s="161"/>
      <c r="H183" s="161"/>
      <c r="I183" s="161"/>
      <c r="J183" s="161"/>
      <c r="K183" s="161"/>
      <c r="N183" s="99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</row>
    <row r="184" ht="15.75" customHeight="1">
      <c r="A184" s="161"/>
      <c r="B184" s="161"/>
      <c r="C184" s="161"/>
      <c r="F184" s="161"/>
      <c r="G184" s="161"/>
      <c r="H184" s="161"/>
      <c r="I184" s="161"/>
      <c r="J184" s="161"/>
      <c r="K184" s="161"/>
      <c r="N184" s="99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</row>
    <row r="185" ht="15.75" customHeight="1">
      <c r="A185" s="161"/>
      <c r="B185" s="161"/>
      <c r="C185" s="161"/>
      <c r="F185" s="161"/>
      <c r="G185" s="161"/>
      <c r="H185" s="161"/>
      <c r="I185" s="161"/>
      <c r="J185" s="161"/>
      <c r="K185" s="161"/>
      <c r="N185" s="99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</row>
    <row r="186" ht="15.75" customHeight="1">
      <c r="A186" s="161"/>
      <c r="B186" s="161"/>
      <c r="C186" s="161"/>
      <c r="F186" s="161"/>
      <c r="G186" s="161"/>
      <c r="H186" s="161"/>
      <c r="I186" s="161"/>
      <c r="J186" s="161"/>
      <c r="K186" s="161"/>
      <c r="N186" s="99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</row>
    <row r="187" ht="15.75" customHeight="1">
      <c r="A187" s="161"/>
      <c r="B187" s="161"/>
      <c r="C187" s="161"/>
      <c r="F187" s="161"/>
      <c r="G187" s="161"/>
      <c r="H187" s="161"/>
      <c r="I187" s="161"/>
      <c r="J187" s="161"/>
      <c r="K187" s="161"/>
      <c r="N187" s="99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</row>
    <row r="188" ht="15.75" customHeight="1">
      <c r="A188" s="161"/>
      <c r="B188" s="161"/>
      <c r="C188" s="161"/>
      <c r="F188" s="161"/>
      <c r="G188" s="161"/>
      <c r="H188" s="161"/>
      <c r="I188" s="161"/>
      <c r="J188" s="161"/>
      <c r="K188" s="161"/>
      <c r="N188" s="99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</row>
    <row r="189" ht="15.75" customHeight="1">
      <c r="A189" s="161"/>
      <c r="B189" s="161"/>
      <c r="C189" s="161"/>
      <c r="F189" s="161"/>
      <c r="G189" s="161"/>
      <c r="H189" s="161"/>
      <c r="I189" s="161"/>
      <c r="J189" s="161"/>
      <c r="K189" s="161"/>
      <c r="N189" s="99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</row>
    <row r="190" ht="15.75" customHeight="1">
      <c r="A190" s="161"/>
      <c r="B190" s="161"/>
      <c r="C190" s="161"/>
      <c r="F190" s="161"/>
      <c r="G190" s="161"/>
      <c r="H190" s="161"/>
      <c r="I190" s="161"/>
      <c r="J190" s="161"/>
      <c r="K190" s="161"/>
      <c r="N190" s="99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</row>
    <row r="191" ht="15.75" customHeight="1">
      <c r="A191" s="161"/>
      <c r="B191" s="161"/>
      <c r="C191" s="161"/>
      <c r="F191" s="161"/>
      <c r="G191" s="161"/>
      <c r="H191" s="161"/>
      <c r="I191" s="161"/>
      <c r="J191" s="161"/>
      <c r="K191" s="161"/>
      <c r="N191" s="99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</row>
    <row r="192" ht="15.75" customHeight="1">
      <c r="A192" s="161"/>
      <c r="B192" s="161"/>
      <c r="C192" s="161"/>
      <c r="F192" s="161"/>
      <c r="G192" s="161"/>
      <c r="H192" s="161"/>
      <c r="I192" s="161"/>
      <c r="J192" s="161"/>
      <c r="K192" s="161"/>
      <c r="N192" s="99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</row>
    <row r="193" ht="15.75" customHeight="1">
      <c r="A193" s="161"/>
      <c r="B193" s="161"/>
      <c r="C193" s="161"/>
      <c r="F193" s="161"/>
      <c r="G193" s="161"/>
      <c r="H193" s="161"/>
      <c r="I193" s="161"/>
      <c r="J193" s="161"/>
      <c r="K193" s="161"/>
      <c r="N193" s="99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</row>
    <row r="194" ht="15.75" customHeight="1">
      <c r="A194" s="161"/>
      <c r="B194" s="161"/>
      <c r="C194" s="161"/>
      <c r="F194" s="161"/>
      <c r="G194" s="161"/>
      <c r="H194" s="161"/>
      <c r="I194" s="161"/>
      <c r="J194" s="161"/>
      <c r="K194" s="161"/>
      <c r="N194" s="99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</row>
    <row r="195" ht="15.75" customHeight="1">
      <c r="A195" s="161"/>
      <c r="B195" s="161"/>
      <c r="C195" s="161"/>
      <c r="F195" s="161"/>
      <c r="G195" s="161"/>
      <c r="H195" s="161"/>
      <c r="I195" s="161"/>
      <c r="J195" s="161"/>
      <c r="K195" s="161"/>
      <c r="N195" s="99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</row>
    <row r="196" ht="15.75" customHeight="1">
      <c r="A196" s="161"/>
      <c r="B196" s="161"/>
      <c r="C196" s="161"/>
      <c r="F196" s="161"/>
      <c r="G196" s="161"/>
      <c r="H196" s="161"/>
      <c r="I196" s="161"/>
      <c r="J196" s="161"/>
      <c r="K196" s="161"/>
      <c r="N196" s="99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</row>
    <row r="197" ht="15.75" customHeight="1">
      <c r="A197" s="161"/>
      <c r="B197" s="161"/>
      <c r="C197" s="161"/>
      <c r="F197" s="161"/>
      <c r="G197" s="161"/>
      <c r="H197" s="161"/>
      <c r="I197" s="161"/>
      <c r="J197" s="161"/>
      <c r="K197" s="161"/>
      <c r="N197" s="99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</row>
    <row r="198" ht="15.75" customHeight="1">
      <c r="A198" s="161"/>
      <c r="B198" s="161"/>
      <c r="C198" s="161"/>
      <c r="F198" s="161"/>
      <c r="G198" s="161"/>
      <c r="H198" s="161"/>
      <c r="I198" s="161"/>
      <c r="J198" s="161"/>
      <c r="K198" s="161"/>
      <c r="N198" s="99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</row>
    <row r="199" ht="15.75" customHeight="1">
      <c r="A199" s="161"/>
      <c r="B199" s="161"/>
      <c r="C199" s="161"/>
      <c r="F199" s="161"/>
      <c r="G199" s="161"/>
      <c r="H199" s="161"/>
      <c r="I199" s="161"/>
      <c r="J199" s="161"/>
      <c r="K199" s="161"/>
      <c r="N199" s="99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</row>
    <row r="200" ht="15.75" customHeight="1">
      <c r="A200" s="161"/>
      <c r="B200" s="161"/>
      <c r="C200" s="161"/>
      <c r="F200" s="161"/>
      <c r="G200" s="161"/>
      <c r="H200" s="161"/>
      <c r="I200" s="161"/>
      <c r="J200" s="161"/>
      <c r="K200" s="161"/>
      <c r="N200" s="99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</row>
    <row r="201" ht="15.75" customHeight="1">
      <c r="A201" s="161"/>
      <c r="B201" s="161"/>
      <c r="C201" s="161"/>
      <c r="F201" s="161"/>
      <c r="G201" s="161"/>
      <c r="H201" s="161"/>
      <c r="I201" s="161"/>
      <c r="J201" s="161"/>
      <c r="K201" s="161"/>
      <c r="N201" s="99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</row>
    <row r="202" ht="15.75" customHeight="1">
      <c r="A202" s="161"/>
      <c r="B202" s="161"/>
      <c r="C202" s="161"/>
      <c r="F202" s="161"/>
      <c r="G202" s="161"/>
      <c r="H202" s="161"/>
      <c r="I202" s="161"/>
      <c r="J202" s="161"/>
      <c r="K202" s="161"/>
      <c r="N202" s="99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</row>
    <row r="203" ht="15.75" customHeight="1">
      <c r="A203" s="161"/>
      <c r="B203" s="161"/>
      <c r="C203" s="161"/>
      <c r="F203" s="161"/>
      <c r="G203" s="161"/>
      <c r="H203" s="161"/>
      <c r="I203" s="161"/>
      <c r="J203" s="161"/>
      <c r="K203" s="161"/>
      <c r="N203" s="99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</row>
    <row r="204" ht="15.75" customHeight="1">
      <c r="A204" s="161"/>
      <c r="B204" s="161"/>
      <c r="C204" s="161"/>
      <c r="F204" s="161"/>
      <c r="G204" s="161"/>
      <c r="H204" s="161"/>
      <c r="I204" s="161"/>
      <c r="J204" s="161"/>
      <c r="K204" s="161"/>
      <c r="N204" s="99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</row>
    <row r="205" ht="15.75" customHeight="1">
      <c r="A205" s="161"/>
      <c r="B205" s="161"/>
      <c r="C205" s="161"/>
      <c r="F205" s="161"/>
      <c r="G205" s="161"/>
      <c r="H205" s="161"/>
      <c r="I205" s="161"/>
      <c r="J205" s="161"/>
      <c r="K205" s="161"/>
      <c r="N205" s="99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</row>
    <row r="206" ht="15.75" customHeight="1">
      <c r="A206" s="161"/>
      <c r="B206" s="161"/>
      <c r="C206" s="161"/>
      <c r="F206" s="161"/>
      <c r="G206" s="161"/>
      <c r="H206" s="161"/>
      <c r="I206" s="161"/>
      <c r="J206" s="161"/>
      <c r="K206" s="161"/>
      <c r="N206" s="99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</row>
    <row r="207" ht="15.75" customHeight="1">
      <c r="A207" s="161"/>
      <c r="B207" s="161"/>
      <c r="C207" s="161"/>
      <c r="F207" s="161"/>
      <c r="G207" s="161"/>
      <c r="H207" s="161"/>
      <c r="I207" s="161"/>
      <c r="J207" s="161"/>
      <c r="K207" s="161"/>
      <c r="N207" s="99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</row>
    <row r="208" ht="15.75" customHeight="1">
      <c r="A208" s="161"/>
      <c r="B208" s="161"/>
      <c r="C208" s="161"/>
      <c r="F208" s="161"/>
      <c r="G208" s="161"/>
      <c r="H208" s="161"/>
      <c r="I208" s="161"/>
      <c r="J208" s="161"/>
      <c r="K208" s="161"/>
      <c r="N208" s="99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</row>
    <row r="209" ht="15.75" customHeight="1">
      <c r="A209" s="161"/>
      <c r="B209" s="161"/>
      <c r="C209" s="161"/>
      <c r="F209" s="161"/>
      <c r="G209" s="161"/>
      <c r="H209" s="161"/>
      <c r="I209" s="161"/>
      <c r="J209" s="161"/>
      <c r="K209" s="161"/>
      <c r="N209" s="99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</row>
    <row r="210" ht="15.75" customHeight="1">
      <c r="A210" s="161"/>
      <c r="B210" s="161"/>
      <c r="C210" s="161"/>
      <c r="F210" s="161"/>
      <c r="G210" s="161"/>
      <c r="H210" s="161"/>
      <c r="I210" s="161"/>
      <c r="J210" s="161"/>
      <c r="K210" s="161"/>
      <c r="N210" s="99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</row>
    <row r="211" ht="15.75" customHeight="1">
      <c r="A211" s="161"/>
      <c r="B211" s="161"/>
      <c r="C211" s="161"/>
      <c r="F211" s="161"/>
      <c r="G211" s="161"/>
      <c r="H211" s="161"/>
      <c r="I211" s="161"/>
      <c r="J211" s="161"/>
      <c r="K211" s="161"/>
      <c r="N211" s="99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</row>
    <row r="212" ht="15.75" customHeight="1">
      <c r="A212" s="161"/>
      <c r="B212" s="161"/>
      <c r="C212" s="161"/>
      <c r="F212" s="161"/>
      <c r="G212" s="161"/>
      <c r="H212" s="161"/>
      <c r="I212" s="161"/>
      <c r="J212" s="161"/>
      <c r="K212" s="161"/>
      <c r="N212" s="99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</row>
    <row r="213" ht="15.75" customHeight="1">
      <c r="A213" s="161"/>
      <c r="B213" s="161"/>
      <c r="C213" s="161"/>
      <c r="F213" s="161"/>
      <c r="G213" s="161"/>
      <c r="H213" s="161"/>
      <c r="I213" s="161"/>
      <c r="J213" s="161"/>
      <c r="K213" s="161"/>
      <c r="N213" s="99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</row>
    <row r="214" ht="15.75" customHeight="1">
      <c r="A214" s="161"/>
      <c r="B214" s="161"/>
      <c r="C214" s="161"/>
      <c r="F214" s="161"/>
      <c r="G214" s="161"/>
      <c r="H214" s="161"/>
      <c r="I214" s="161"/>
      <c r="J214" s="161"/>
      <c r="K214" s="161"/>
      <c r="N214" s="99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</row>
    <row r="215" ht="15.75" customHeight="1">
      <c r="A215" s="161"/>
      <c r="B215" s="161"/>
      <c r="C215" s="161"/>
      <c r="F215" s="161"/>
      <c r="G215" s="161"/>
      <c r="H215" s="161"/>
      <c r="I215" s="161"/>
      <c r="J215" s="161"/>
      <c r="K215" s="161"/>
      <c r="N215" s="99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</row>
    <row r="216" ht="15.75" customHeight="1">
      <c r="A216" s="161"/>
      <c r="B216" s="161"/>
      <c r="C216" s="161"/>
      <c r="F216" s="161"/>
      <c r="G216" s="161"/>
      <c r="H216" s="161"/>
      <c r="I216" s="161"/>
      <c r="J216" s="161"/>
      <c r="K216" s="161"/>
      <c r="N216" s="99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</row>
    <row r="217" ht="15.75" customHeight="1">
      <c r="A217" s="161"/>
      <c r="B217" s="161"/>
      <c r="C217" s="161"/>
      <c r="F217" s="161"/>
      <c r="G217" s="161"/>
      <c r="H217" s="161"/>
      <c r="I217" s="161"/>
      <c r="J217" s="161"/>
      <c r="K217" s="161"/>
      <c r="N217" s="99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</row>
    <row r="218" ht="15.75" customHeight="1">
      <c r="A218" s="161"/>
      <c r="B218" s="161"/>
      <c r="C218" s="161"/>
      <c r="F218" s="161"/>
      <c r="G218" s="161"/>
      <c r="H218" s="161"/>
      <c r="I218" s="161"/>
      <c r="J218" s="161"/>
      <c r="K218" s="161"/>
      <c r="N218" s="99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</row>
    <row r="219" ht="15.75" customHeight="1">
      <c r="A219" s="161"/>
      <c r="B219" s="161"/>
      <c r="C219" s="161"/>
      <c r="F219" s="161"/>
      <c r="G219" s="161"/>
      <c r="H219" s="161"/>
      <c r="I219" s="161"/>
      <c r="J219" s="161"/>
      <c r="K219" s="161"/>
      <c r="N219" s="99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</row>
    <row r="220" ht="15.75" customHeight="1">
      <c r="A220" s="161"/>
      <c r="B220" s="161"/>
      <c r="C220" s="161"/>
      <c r="F220" s="161"/>
      <c r="G220" s="161"/>
      <c r="H220" s="161"/>
      <c r="I220" s="161"/>
      <c r="J220" s="161"/>
      <c r="K220" s="161"/>
      <c r="N220" s="99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</row>
    <row r="221" ht="15.75" customHeight="1">
      <c r="A221" s="161"/>
      <c r="B221" s="161"/>
      <c r="C221" s="161"/>
      <c r="F221" s="161"/>
      <c r="G221" s="161"/>
      <c r="H221" s="161"/>
      <c r="I221" s="161"/>
      <c r="J221" s="161"/>
      <c r="K221" s="161"/>
      <c r="N221" s="99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</row>
    <row r="222" ht="15.75" customHeight="1">
      <c r="A222" s="161"/>
      <c r="B222" s="161"/>
      <c r="C222" s="161"/>
      <c r="F222" s="161"/>
      <c r="G222" s="161"/>
      <c r="H222" s="161"/>
      <c r="I222" s="161"/>
      <c r="J222" s="161"/>
      <c r="K222" s="161"/>
      <c r="N222" s="99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</row>
    <row r="223" ht="15.75" customHeight="1">
      <c r="A223" s="161"/>
      <c r="B223" s="161"/>
      <c r="C223" s="161"/>
      <c r="F223" s="161"/>
      <c r="G223" s="161"/>
      <c r="H223" s="161"/>
      <c r="I223" s="161"/>
      <c r="J223" s="161"/>
      <c r="K223" s="161"/>
      <c r="N223" s="99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</row>
    <row r="224" ht="15.75" customHeight="1">
      <c r="A224" s="161"/>
      <c r="B224" s="161"/>
      <c r="C224" s="161"/>
      <c r="F224" s="161"/>
      <c r="G224" s="161"/>
      <c r="H224" s="161"/>
      <c r="I224" s="161"/>
      <c r="J224" s="161"/>
      <c r="K224" s="161"/>
      <c r="N224" s="99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</row>
    <row r="225" ht="15.75" customHeight="1">
      <c r="A225" s="161"/>
      <c r="B225" s="161"/>
      <c r="C225" s="161"/>
      <c r="F225" s="161"/>
      <c r="G225" s="161"/>
      <c r="H225" s="161"/>
      <c r="I225" s="161"/>
      <c r="J225" s="161"/>
      <c r="K225" s="161"/>
      <c r="N225" s="99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</row>
    <row r="226" ht="15.75" customHeight="1">
      <c r="A226" s="161"/>
      <c r="B226" s="161"/>
      <c r="C226" s="161"/>
      <c r="F226" s="161"/>
      <c r="G226" s="161"/>
      <c r="H226" s="161"/>
      <c r="I226" s="161"/>
      <c r="J226" s="161"/>
      <c r="K226" s="161"/>
      <c r="N226" s="99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</row>
    <row r="227" ht="15.75" customHeight="1">
      <c r="A227" s="161"/>
      <c r="B227" s="161"/>
      <c r="C227" s="161"/>
      <c r="F227" s="161"/>
      <c r="G227" s="161"/>
      <c r="H227" s="161"/>
      <c r="I227" s="161"/>
      <c r="J227" s="161"/>
      <c r="K227" s="161"/>
      <c r="N227" s="99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</row>
    <row r="228" ht="15.75" customHeight="1">
      <c r="A228" s="161"/>
      <c r="B228" s="161"/>
      <c r="C228" s="161"/>
      <c r="F228" s="161"/>
      <c r="G228" s="161"/>
      <c r="H228" s="161"/>
      <c r="I228" s="161"/>
      <c r="J228" s="161"/>
      <c r="K228" s="161"/>
      <c r="N228" s="99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</row>
    <row r="229" ht="15.75" customHeight="1">
      <c r="A229" s="161"/>
      <c r="B229" s="161"/>
      <c r="C229" s="161"/>
      <c r="F229" s="161"/>
      <c r="G229" s="161"/>
      <c r="H229" s="161"/>
      <c r="I229" s="161"/>
      <c r="J229" s="161"/>
      <c r="K229" s="161"/>
      <c r="N229" s="99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</row>
    <row r="230" ht="15.75" customHeight="1">
      <c r="A230" s="161"/>
      <c r="B230" s="161"/>
      <c r="C230" s="161"/>
      <c r="F230" s="161"/>
      <c r="G230" s="161"/>
      <c r="H230" s="161"/>
      <c r="I230" s="161"/>
      <c r="J230" s="161"/>
      <c r="K230" s="161"/>
      <c r="N230" s="99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</row>
    <row r="231" ht="15.75" customHeight="1">
      <c r="A231" s="161"/>
      <c r="B231" s="161"/>
      <c r="C231" s="161"/>
      <c r="F231" s="161"/>
      <c r="G231" s="161"/>
      <c r="H231" s="161"/>
      <c r="I231" s="161"/>
      <c r="J231" s="161"/>
      <c r="K231" s="161"/>
      <c r="N231" s="99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</row>
    <row r="232" ht="15.75" customHeight="1">
      <c r="A232" s="161"/>
      <c r="B232" s="161"/>
      <c r="C232" s="161"/>
      <c r="F232" s="161"/>
      <c r="G232" s="161"/>
      <c r="H232" s="161"/>
      <c r="I232" s="161"/>
      <c r="J232" s="161"/>
      <c r="K232" s="161"/>
      <c r="N232" s="99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</row>
    <row r="233" ht="15.75" customHeight="1">
      <c r="A233" s="161"/>
      <c r="B233" s="161"/>
      <c r="C233" s="161"/>
      <c r="F233" s="161"/>
      <c r="G233" s="161"/>
      <c r="H233" s="161"/>
      <c r="I233" s="161"/>
      <c r="J233" s="161"/>
      <c r="K233" s="161"/>
      <c r="N233" s="99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</row>
    <row r="234" ht="15.75" customHeight="1">
      <c r="A234" s="161"/>
      <c r="B234" s="161"/>
      <c r="C234" s="161"/>
      <c r="F234" s="161"/>
      <c r="G234" s="161"/>
      <c r="H234" s="161"/>
      <c r="I234" s="161"/>
      <c r="J234" s="161"/>
      <c r="K234" s="161"/>
      <c r="N234" s="99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</row>
    <row r="235" ht="15.75" customHeight="1">
      <c r="A235" s="161"/>
      <c r="B235" s="161"/>
      <c r="C235" s="161"/>
      <c r="F235" s="161"/>
      <c r="G235" s="161"/>
      <c r="H235" s="161"/>
      <c r="I235" s="161"/>
      <c r="J235" s="161"/>
      <c r="K235" s="161"/>
      <c r="N235" s="99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</row>
    <row r="236" ht="15.75" customHeight="1">
      <c r="A236" s="161"/>
      <c r="B236" s="161"/>
      <c r="C236" s="161"/>
      <c r="F236" s="161"/>
      <c r="G236" s="161"/>
      <c r="H236" s="161"/>
      <c r="I236" s="161"/>
      <c r="J236" s="161"/>
      <c r="K236" s="161"/>
      <c r="N236" s="99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</row>
    <row r="237" ht="15.75" customHeight="1">
      <c r="A237" s="161"/>
      <c r="B237" s="161"/>
      <c r="C237" s="161"/>
      <c r="F237" s="161"/>
      <c r="G237" s="161"/>
      <c r="H237" s="161"/>
      <c r="I237" s="161"/>
      <c r="J237" s="161"/>
      <c r="K237" s="161"/>
      <c r="N237" s="99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</row>
    <row r="238" ht="15.75" customHeight="1">
      <c r="A238" s="161"/>
      <c r="B238" s="161"/>
      <c r="C238" s="161"/>
      <c r="F238" s="161"/>
      <c r="G238" s="161"/>
      <c r="H238" s="161"/>
      <c r="I238" s="161"/>
      <c r="J238" s="161"/>
      <c r="K238" s="161"/>
      <c r="N238" s="99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</row>
    <row r="239" ht="15.75" customHeight="1">
      <c r="A239" s="161"/>
      <c r="B239" s="161"/>
      <c r="C239" s="161"/>
      <c r="F239" s="161"/>
      <c r="G239" s="161"/>
      <c r="H239" s="161"/>
      <c r="I239" s="161"/>
      <c r="J239" s="161"/>
      <c r="K239" s="161"/>
      <c r="N239" s="99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</row>
    <row r="240" ht="15.75" customHeight="1">
      <c r="A240" s="161"/>
      <c r="B240" s="161"/>
      <c r="C240" s="161"/>
      <c r="F240" s="161"/>
      <c r="G240" s="161"/>
      <c r="H240" s="161"/>
      <c r="I240" s="161"/>
      <c r="J240" s="161"/>
      <c r="K240" s="161"/>
      <c r="N240" s="99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</row>
    <row r="241" ht="15.75" customHeight="1">
      <c r="A241" s="161"/>
      <c r="B241" s="161"/>
      <c r="C241" s="161"/>
      <c r="F241" s="161"/>
      <c r="G241" s="161"/>
      <c r="H241" s="161"/>
      <c r="I241" s="161"/>
      <c r="J241" s="161"/>
      <c r="K241" s="161"/>
      <c r="N241" s="99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</row>
    <row r="242" ht="15.75" customHeight="1">
      <c r="A242" s="161"/>
      <c r="B242" s="161"/>
      <c r="C242" s="161"/>
      <c r="F242" s="161"/>
      <c r="G242" s="161"/>
      <c r="H242" s="161"/>
      <c r="I242" s="161"/>
      <c r="J242" s="161"/>
      <c r="K242" s="161"/>
      <c r="N242" s="99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</row>
    <row r="243" ht="15.75" customHeight="1">
      <c r="A243" s="161"/>
      <c r="B243" s="161"/>
      <c r="C243" s="161"/>
      <c r="F243" s="161"/>
      <c r="G243" s="161"/>
      <c r="H243" s="161"/>
      <c r="I243" s="161"/>
      <c r="J243" s="161"/>
      <c r="K243" s="161"/>
      <c r="N243" s="99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</row>
    <row r="244" ht="15.75" customHeight="1">
      <c r="A244" s="161"/>
      <c r="B244" s="161"/>
      <c r="C244" s="161"/>
      <c r="F244" s="161"/>
      <c r="G244" s="161"/>
      <c r="H244" s="161"/>
      <c r="I244" s="161"/>
      <c r="J244" s="161"/>
      <c r="K244" s="161"/>
      <c r="N244" s="99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</row>
    <row r="245" ht="15.75" customHeight="1">
      <c r="A245" s="161"/>
      <c r="B245" s="161"/>
      <c r="C245" s="161"/>
      <c r="F245" s="161"/>
      <c r="G245" s="161"/>
      <c r="H245" s="161"/>
      <c r="I245" s="161"/>
      <c r="J245" s="161"/>
      <c r="K245" s="161"/>
      <c r="N245" s="99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</row>
    <row r="246" ht="15.75" customHeight="1">
      <c r="A246" s="161"/>
      <c r="B246" s="161"/>
      <c r="C246" s="161"/>
      <c r="F246" s="161"/>
      <c r="G246" s="161"/>
      <c r="H246" s="161"/>
      <c r="I246" s="161"/>
      <c r="J246" s="161"/>
      <c r="K246" s="161"/>
      <c r="N246" s="99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</row>
    <row r="247" ht="15.75" customHeight="1">
      <c r="A247" s="161"/>
      <c r="B247" s="161"/>
      <c r="C247" s="161"/>
      <c r="F247" s="161"/>
      <c r="G247" s="161"/>
      <c r="H247" s="161"/>
      <c r="I247" s="161"/>
      <c r="J247" s="161"/>
      <c r="K247" s="161"/>
      <c r="N247" s="99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</row>
    <row r="248" ht="15.75" customHeight="1">
      <c r="A248" s="161"/>
      <c r="B248" s="161"/>
      <c r="C248" s="161"/>
      <c r="F248" s="161"/>
      <c r="G248" s="161"/>
      <c r="H248" s="161"/>
      <c r="I248" s="161"/>
      <c r="J248" s="161"/>
      <c r="K248" s="161"/>
      <c r="N248" s="99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</row>
    <row r="249" ht="15.75" customHeight="1">
      <c r="A249" s="161"/>
      <c r="B249" s="161"/>
      <c r="C249" s="161"/>
      <c r="F249" s="161"/>
      <c r="G249" s="161"/>
      <c r="H249" s="161"/>
      <c r="I249" s="161"/>
      <c r="J249" s="161"/>
      <c r="K249" s="161"/>
      <c r="N249" s="99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</row>
    <row r="250" ht="15.75" customHeight="1">
      <c r="A250" s="161"/>
      <c r="B250" s="161"/>
      <c r="C250" s="161"/>
      <c r="F250" s="161"/>
      <c r="G250" s="161"/>
      <c r="H250" s="161"/>
      <c r="I250" s="161"/>
      <c r="J250" s="161"/>
      <c r="K250" s="161"/>
      <c r="N250" s="99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</row>
    <row r="251" ht="15.75" customHeight="1">
      <c r="A251" s="161"/>
      <c r="B251" s="161"/>
      <c r="C251" s="161"/>
      <c r="F251" s="161"/>
      <c r="G251" s="161"/>
      <c r="H251" s="161"/>
      <c r="I251" s="161"/>
      <c r="J251" s="161"/>
      <c r="K251" s="161"/>
      <c r="N251" s="99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</row>
    <row r="252" ht="15.75" customHeight="1">
      <c r="A252" s="161"/>
      <c r="B252" s="161"/>
      <c r="C252" s="161"/>
      <c r="F252" s="161"/>
      <c r="G252" s="161"/>
      <c r="H252" s="161"/>
      <c r="I252" s="161"/>
      <c r="J252" s="161"/>
      <c r="K252" s="161"/>
      <c r="N252" s="99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</row>
    <row r="253" ht="15.75" customHeight="1">
      <c r="A253" s="161"/>
      <c r="B253" s="161"/>
      <c r="C253" s="161"/>
      <c r="F253" s="161"/>
      <c r="G253" s="161"/>
      <c r="H253" s="161"/>
      <c r="I253" s="161"/>
      <c r="J253" s="161"/>
      <c r="K253" s="161"/>
      <c r="N253" s="99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</row>
    <row r="254" ht="15.75" customHeight="1">
      <c r="A254" s="161"/>
      <c r="B254" s="161"/>
      <c r="C254" s="161"/>
      <c r="F254" s="161"/>
      <c r="G254" s="161"/>
      <c r="H254" s="161"/>
      <c r="I254" s="161"/>
      <c r="J254" s="161"/>
      <c r="K254" s="161"/>
      <c r="N254" s="99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</row>
    <row r="255" ht="15.75" customHeight="1">
      <c r="A255" s="161"/>
      <c r="B255" s="161"/>
      <c r="C255" s="161"/>
      <c r="F255" s="161"/>
      <c r="G255" s="161"/>
      <c r="H255" s="161"/>
      <c r="I255" s="161"/>
      <c r="J255" s="161"/>
      <c r="K255" s="161"/>
      <c r="N255" s="99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</row>
    <row r="256" ht="15.75" customHeight="1">
      <c r="A256" s="161"/>
      <c r="B256" s="161"/>
      <c r="C256" s="161"/>
      <c r="F256" s="161"/>
      <c r="G256" s="161"/>
      <c r="H256" s="161"/>
      <c r="I256" s="161"/>
      <c r="J256" s="161"/>
      <c r="K256" s="161"/>
      <c r="N256" s="99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</row>
    <row r="257" ht="15.75" customHeight="1">
      <c r="A257" s="161"/>
      <c r="B257" s="161"/>
      <c r="C257" s="161"/>
      <c r="F257" s="161"/>
      <c r="G257" s="161"/>
      <c r="H257" s="161"/>
      <c r="I257" s="161"/>
      <c r="J257" s="161"/>
      <c r="K257" s="161"/>
      <c r="N257" s="99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</row>
    <row r="258" ht="15.75" customHeight="1">
      <c r="A258" s="161"/>
      <c r="B258" s="161"/>
      <c r="C258" s="161"/>
      <c r="F258" s="161"/>
      <c r="G258" s="161"/>
      <c r="H258" s="161"/>
      <c r="I258" s="161"/>
      <c r="J258" s="161"/>
      <c r="K258" s="161"/>
      <c r="N258" s="99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</row>
    <row r="259" ht="15.75" customHeight="1">
      <c r="A259" s="161"/>
      <c r="B259" s="161"/>
      <c r="C259" s="161"/>
      <c r="F259" s="161"/>
      <c r="G259" s="161"/>
      <c r="H259" s="161"/>
      <c r="I259" s="161"/>
      <c r="J259" s="161"/>
      <c r="K259" s="161"/>
      <c r="N259" s="99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</row>
    <row r="260" ht="15.75" customHeight="1">
      <c r="A260" s="161"/>
      <c r="B260" s="161"/>
      <c r="C260" s="161"/>
      <c r="F260" s="161"/>
      <c r="G260" s="161"/>
      <c r="H260" s="161"/>
      <c r="I260" s="161"/>
      <c r="J260" s="161"/>
      <c r="K260" s="161"/>
      <c r="N260" s="99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</row>
    <row r="261" ht="15.75" customHeight="1">
      <c r="A261" s="161"/>
      <c r="B261" s="161"/>
      <c r="C261" s="161"/>
      <c r="F261" s="161"/>
      <c r="G261" s="161"/>
      <c r="H261" s="161"/>
      <c r="I261" s="161"/>
      <c r="J261" s="161"/>
      <c r="K261" s="161"/>
      <c r="N261" s="99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</row>
    <row r="262" ht="15.75" customHeight="1">
      <c r="A262" s="161"/>
      <c r="B262" s="161"/>
      <c r="C262" s="161"/>
      <c r="F262" s="161"/>
      <c r="G262" s="161"/>
      <c r="H262" s="161"/>
      <c r="I262" s="161"/>
      <c r="J262" s="161"/>
      <c r="K262" s="161"/>
      <c r="N262" s="99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</row>
    <row r="263" ht="15.75" customHeight="1">
      <c r="A263" s="161"/>
      <c r="B263" s="161"/>
      <c r="C263" s="161"/>
      <c r="F263" s="161"/>
      <c r="G263" s="161"/>
      <c r="H263" s="161"/>
      <c r="I263" s="161"/>
      <c r="J263" s="161"/>
      <c r="K263" s="161"/>
      <c r="N263" s="99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</row>
    <row r="264" ht="15.75" customHeight="1">
      <c r="A264" s="161"/>
      <c r="B264" s="161"/>
      <c r="C264" s="161"/>
      <c r="F264" s="161"/>
      <c r="G264" s="161"/>
      <c r="H264" s="161"/>
      <c r="I264" s="161"/>
      <c r="J264" s="161"/>
      <c r="K264" s="161"/>
      <c r="N264" s="99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</row>
    <row r="265" ht="15.75" customHeight="1">
      <c r="A265" s="161"/>
      <c r="B265" s="161"/>
      <c r="C265" s="161"/>
      <c r="F265" s="161"/>
      <c r="G265" s="161"/>
      <c r="H265" s="161"/>
      <c r="I265" s="161"/>
      <c r="J265" s="161"/>
      <c r="K265" s="161"/>
      <c r="N265" s="99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</row>
    <row r="266" ht="15.75" customHeight="1">
      <c r="A266" s="161"/>
      <c r="B266" s="161"/>
      <c r="C266" s="161"/>
      <c r="F266" s="161"/>
      <c r="G266" s="161"/>
      <c r="H266" s="161"/>
      <c r="I266" s="161"/>
      <c r="J266" s="161"/>
      <c r="K266" s="161"/>
      <c r="N266" s="99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</row>
    <row r="267" ht="15.75" customHeight="1">
      <c r="A267" s="161"/>
      <c r="B267" s="161"/>
      <c r="C267" s="161"/>
      <c r="F267" s="161"/>
      <c r="G267" s="161"/>
      <c r="H267" s="161"/>
      <c r="I267" s="161"/>
      <c r="J267" s="161"/>
      <c r="K267" s="161"/>
      <c r="N267" s="99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</row>
    <row r="268" ht="15.75" customHeight="1">
      <c r="A268" s="161"/>
      <c r="B268" s="161"/>
      <c r="C268" s="161"/>
      <c r="F268" s="161"/>
      <c r="G268" s="161"/>
      <c r="H268" s="161"/>
      <c r="I268" s="161"/>
      <c r="J268" s="161"/>
      <c r="K268" s="161"/>
      <c r="N268" s="99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</row>
    <row r="269" ht="15.75" customHeight="1">
      <c r="A269" s="161"/>
      <c r="B269" s="161"/>
      <c r="C269" s="161"/>
      <c r="F269" s="161"/>
      <c r="G269" s="161"/>
      <c r="H269" s="161"/>
      <c r="I269" s="161"/>
      <c r="J269" s="161"/>
      <c r="K269" s="161"/>
      <c r="N269" s="99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</row>
    <row r="270" ht="15.75" customHeight="1">
      <c r="A270" s="161"/>
      <c r="B270" s="161"/>
      <c r="C270" s="161"/>
      <c r="F270" s="161"/>
      <c r="G270" s="161"/>
      <c r="H270" s="161"/>
      <c r="I270" s="161"/>
      <c r="J270" s="161"/>
      <c r="K270" s="161"/>
      <c r="N270" s="99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</row>
    <row r="271" ht="15.75" customHeight="1">
      <c r="A271" s="161"/>
      <c r="B271" s="161"/>
      <c r="C271" s="161"/>
      <c r="F271" s="161"/>
      <c r="G271" s="161"/>
      <c r="H271" s="161"/>
      <c r="I271" s="161"/>
      <c r="J271" s="161"/>
      <c r="K271" s="161"/>
      <c r="N271" s="99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</row>
    <row r="272" ht="15.75" customHeight="1">
      <c r="A272" s="161"/>
      <c r="B272" s="161"/>
      <c r="C272" s="161"/>
      <c r="F272" s="161"/>
      <c r="G272" s="161"/>
      <c r="H272" s="161"/>
      <c r="I272" s="161"/>
      <c r="J272" s="161"/>
      <c r="K272" s="161"/>
      <c r="N272" s="99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</row>
    <row r="273" ht="15.75" customHeight="1">
      <c r="A273" s="161"/>
      <c r="B273" s="161"/>
      <c r="C273" s="161"/>
      <c r="F273" s="161"/>
      <c r="G273" s="161"/>
      <c r="H273" s="161"/>
      <c r="I273" s="161"/>
      <c r="J273" s="161"/>
      <c r="K273" s="161"/>
      <c r="N273" s="99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</row>
    <row r="274" ht="15.75" customHeight="1">
      <c r="A274" s="161"/>
      <c r="B274" s="161"/>
      <c r="C274" s="161"/>
      <c r="F274" s="161"/>
      <c r="G274" s="161"/>
      <c r="H274" s="161"/>
      <c r="I274" s="161"/>
      <c r="J274" s="161"/>
      <c r="K274" s="161"/>
      <c r="N274" s="99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</row>
    <row r="275" ht="15.75" customHeight="1">
      <c r="A275" s="161"/>
      <c r="B275" s="161"/>
      <c r="C275" s="161"/>
      <c r="F275" s="161"/>
      <c r="G275" s="161"/>
      <c r="H275" s="161"/>
      <c r="I275" s="161"/>
      <c r="J275" s="161"/>
      <c r="K275" s="161"/>
      <c r="N275" s="99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</row>
    <row r="276" ht="15.75" customHeight="1">
      <c r="A276" s="161"/>
      <c r="B276" s="161"/>
      <c r="C276" s="161"/>
      <c r="F276" s="161"/>
      <c r="G276" s="161"/>
      <c r="H276" s="161"/>
      <c r="I276" s="161"/>
      <c r="J276" s="161"/>
      <c r="K276" s="161"/>
      <c r="N276" s="99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</row>
    <row r="277" ht="15.75" customHeight="1">
      <c r="A277" s="161"/>
      <c r="B277" s="161"/>
      <c r="C277" s="161"/>
      <c r="F277" s="161"/>
      <c r="G277" s="161"/>
      <c r="H277" s="161"/>
      <c r="I277" s="161"/>
      <c r="J277" s="161"/>
      <c r="K277" s="161"/>
      <c r="N277" s="99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</row>
    <row r="278" ht="15.75" customHeight="1">
      <c r="A278" s="161"/>
      <c r="B278" s="161"/>
      <c r="C278" s="161"/>
      <c r="F278" s="161"/>
      <c r="G278" s="161"/>
      <c r="H278" s="161"/>
      <c r="I278" s="161"/>
      <c r="J278" s="161"/>
      <c r="K278" s="161"/>
      <c r="N278" s="99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</row>
    <row r="279" ht="15.75" customHeight="1">
      <c r="A279" s="161"/>
      <c r="B279" s="161"/>
      <c r="C279" s="161"/>
      <c r="F279" s="161"/>
      <c r="G279" s="161"/>
      <c r="H279" s="161"/>
      <c r="I279" s="161"/>
      <c r="J279" s="161"/>
      <c r="K279" s="161"/>
      <c r="N279" s="99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</row>
    <row r="280" ht="15.75" customHeight="1">
      <c r="A280" s="161"/>
      <c r="B280" s="161"/>
      <c r="C280" s="161"/>
      <c r="F280" s="161"/>
      <c r="G280" s="161"/>
      <c r="H280" s="161"/>
      <c r="I280" s="161"/>
      <c r="J280" s="161"/>
      <c r="K280" s="161"/>
      <c r="N280" s="99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</row>
    <row r="281" ht="15.75" customHeight="1">
      <c r="A281" s="161"/>
      <c r="B281" s="161"/>
      <c r="C281" s="161"/>
      <c r="F281" s="161"/>
      <c r="G281" s="161"/>
      <c r="H281" s="161"/>
      <c r="I281" s="161"/>
      <c r="J281" s="161"/>
      <c r="K281" s="161"/>
      <c r="N281" s="99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</row>
    <row r="282" ht="15.75" customHeight="1">
      <c r="A282" s="161"/>
      <c r="B282" s="161"/>
      <c r="C282" s="161"/>
      <c r="F282" s="161"/>
      <c r="G282" s="161"/>
      <c r="H282" s="161"/>
      <c r="I282" s="161"/>
      <c r="J282" s="161"/>
      <c r="K282" s="161"/>
      <c r="N282" s="99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</row>
    <row r="283" ht="15.75" customHeight="1">
      <c r="A283" s="161"/>
      <c r="B283" s="161"/>
      <c r="C283" s="161"/>
      <c r="F283" s="161"/>
      <c r="G283" s="161"/>
      <c r="H283" s="161"/>
      <c r="I283" s="161"/>
      <c r="J283" s="161"/>
      <c r="K283" s="161"/>
      <c r="N283" s="99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</row>
    <row r="284" ht="15.75" customHeight="1">
      <c r="A284" s="161"/>
      <c r="B284" s="161"/>
      <c r="C284" s="161"/>
      <c r="F284" s="161"/>
      <c r="G284" s="161"/>
      <c r="H284" s="161"/>
      <c r="I284" s="161"/>
      <c r="J284" s="161"/>
      <c r="K284" s="161"/>
      <c r="N284" s="99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</row>
    <row r="285" ht="15.75" customHeight="1">
      <c r="A285" s="161"/>
      <c r="B285" s="161"/>
      <c r="C285" s="161"/>
      <c r="F285" s="161"/>
      <c r="G285" s="161"/>
      <c r="H285" s="161"/>
      <c r="I285" s="161"/>
      <c r="J285" s="161"/>
      <c r="K285" s="161"/>
      <c r="N285" s="99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</row>
    <row r="286" ht="15.75" customHeight="1">
      <c r="A286" s="161"/>
      <c r="B286" s="161"/>
      <c r="C286" s="161"/>
      <c r="F286" s="161"/>
      <c r="G286" s="161"/>
      <c r="H286" s="161"/>
      <c r="I286" s="161"/>
      <c r="J286" s="161"/>
      <c r="K286" s="161"/>
      <c r="N286" s="99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</row>
    <row r="287" ht="15.75" customHeight="1">
      <c r="A287" s="161"/>
      <c r="B287" s="161"/>
      <c r="C287" s="161"/>
      <c r="F287" s="161"/>
      <c r="G287" s="161"/>
      <c r="H287" s="161"/>
      <c r="I287" s="161"/>
      <c r="J287" s="161"/>
      <c r="K287" s="161"/>
      <c r="N287" s="99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</row>
    <row r="288" ht="15.75" customHeight="1">
      <c r="A288" s="161"/>
      <c r="B288" s="161"/>
      <c r="C288" s="161"/>
      <c r="F288" s="161"/>
      <c r="G288" s="161"/>
      <c r="H288" s="161"/>
      <c r="I288" s="161"/>
      <c r="J288" s="161"/>
      <c r="K288" s="161"/>
      <c r="N288" s="99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</row>
    <row r="289" ht="15.75" customHeight="1">
      <c r="A289" s="161"/>
      <c r="B289" s="161"/>
      <c r="C289" s="161"/>
      <c r="F289" s="161"/>
      <c r="G289" s="161"/>
      <c r="H289" s="161"/>
      <c r="I289" s="161"/>
      <c r="J289" s="161"/>
      <c r="K289" s="161"/>
      <c r="N289" s="99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</row>
    <row r="290" ht="15.75" customHeight="1">
      <c r="A290" s="161"/>
      <c r="B290" s="161"/>
      <c r="C290" s="161"/>
      <c r="F290" s="161"/>
      <c r="G290" s="161"/>
      <c r="H290" s="161"/>
      <c r="I290" s="161"/>
      <c r="J290" s="161"/>
      <c r="K290" s="161"/>
      <c r="N290" s="99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</row>
    <row r="291" ht="15.75" customHeight="1">
      <c r="A291" s="161"/>
      <c r="B291" s="161"/>
      <c r="C291" s="161"/>
      <c r="F291" s="161"/>
      <c r="G291" s="161"/>
      <c r="H291" s="161"/>
      <c r="I291" s="161"/>
      <c r="J291" s="161"/>
      <c r="K291" s="161"/>
      <c r="N291" s="99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</row>
    <row r="292" ht="15.75" customHeight="1">
      <c r="A292" s="161"/>
      <c r="B292" s="161"/>
      <c r="C292" s="161"/>
      <c r="F292" s="161"/>
      <c r="G292" s="161"/>
      <c r="H292" s="161"/>
      <c r="I292" s="161"/>
      <c r="J292" s="161"/>
      <c r="K292" s="161"/>
      <c r="N292" s="99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</row>
    <row r="293" ht="15.75" customHeight="1">
      <c r="A293" s="161"/>
      <c r="B293" s="161"/>
      <c r="C293" s="161"/>
      <c r="F293" s="161"/>
      <c r="G293" s="161"/>
      <c r="H293" s="161"/>
      <c r="I293" s="161"/>
      <c r="J293" s="161"/>
      <c r="K293" s="161"/>
      <c r="N293" s="99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</row>
    <row r="294" ht="15.75" customHeight="1">
      <c r="A294" s="161"/>
      <c r="B294" s="161"/>
      <c r="C294" s="161"/>
      <c r="F294" s="161"/>
      <c r="G294" s="161"/>
      <c r="H294" s="161"/>
      <c r="I294" s="161"/>
      <c r="J294" s="161"/>
      <c r="K294" s="161"/>
      <c r="N294" s="99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</row>
    <row r="295" ht="15.75" customHeight="1">
      <c r="A295" s="161"/>
      <c r="B295" s="161"/>
      <c r="C295" s="161"/>
      <c r="F295" s="161"/>
      <c r="G295" s="161"/>
      <c r="H295" s="161"/>
      <c r="I295" s="161"/>
      <c r="J295" s="161"/>
      <c r="K295" s="161"/>
      <c r="N295" s="99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</row>
    <row r="296" ht="15.75" customHeight="1">
      <c r="A296" s="161"/>
      <c r="B296" s="161"/>
      <c r="C296" s="161"/>
      <c r="F296" s="161"/>
      <c r="G296" s="161"/>
      <c r="H296" s="161"/>
      <c r="I296" s="161"/>
      <c r="J296" s="161"/>
      <c r="K296" s="161"/>
      <c r="N296" s="99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</row>
    <row r="297" ht="15.75" customHeight="1">
      <c r="A297" s="161"/>
      <c r="B297" s="161"/>
      <c r="C297" s="161"/>
      <c r="F297" s="161"/>
      <c r="G297" s="161"/>
      <c r="H297" s="161"/>
      <c r="I297" s="161"/>
      <c r="J297" s="161"/>
      <c r="K297" s="161"/>
      <c r="N297" s="99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</row>
    <row r="298" ht="15.75" customHeight="1">
      <c r="A298" s="161"/>
      <c r="B298" s="161"/>
      <c r="C298" s="161"/>
      <c r="F298" s="161"/>
      <c r="G298" s="161"/>
      <c r="H298" s="161"/>
      <c r="I298" s="161"/>
      <c r="J298" s="161"/>
      <c r="K298" s="161"/>
      <c r="N298" s="99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</row>
    <row r="299" ht="15.75" customHeight="1">
      <c r="A299" s="161"/>
      <c r="B299" s="161"/>
      <c r="C299" s="161"/>
      <c r="F299" s="161"/>
      <c r="G299" s="161"/>
      <c r="H299" s="161"/>
      <c r="I299" s="161"/>
      <c r="J299" s="161"/>
      <c r="K299" s="161"/>
      <c r="N299" s="99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</row>
    <row r="300" ht="15.75" customHeight="1">
      <c r="A300" s="161"/>
      <c r="B300" s="161"/>
      <c r="C300" s="161"/>
      <c r="F300" s="161"/>
      <c r="G300" s="161"/>
      <c r="H300" s="161"/>
      <c r="I300" s="161"/>
      <c r="J300" s="161"/>
      <c r="K300" s="161"/>
      <c r="N300" s="99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</row>
    <row r="301" ht="15.75" customHeight="1">
      <c r="A301" s="161"/>
      <c r="B301" s="161"/>
      <c r="C301" s="161"/>
      <c r="F301" s="161"/>
      <c r="G301" s="161"/>
      <c r="H301" s="161"/>
      <c r="I301" s="161"/>
      <c r="J301" s="161"/>
      <c r="K301" s="161"/>
      <c r="N301" s="99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10"/>
    <mergeCell ref="A13:A26"/>
    <mergeCell ref="A29:A49"/>
    <mergeCell ref="A52:A67"/>
    <mergeCell ref="A69:A101"/>
  </mergeCells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86"/>
    <col customWidth="1" min="2" max="2" width="38.29"/>
    <col customWidth="1" min="3" max="3" width="33.14"/>
    <col customWidth="1" min="4" max="4" width="13.71"/>
    <col customWidth="1" min="5" max="5" width="29.0"/>
    <col customWidth="1" min="6" max="6" width="14.43"/>
    <col customWidth="1" min="12" max="12" width="42.71"/>
    <col customWidth="1" min="13" max="13" width="21.86"/>
  </cols>
  <sheetData>
    <row r="1">
      <c r="A1" s="163" t="s">
        <v>162</v>
      </c>
      <c r="B1" s="163" t="s">
        <v>33</v>
      </c>
      <c r="C1" s="161"/>
      <c r="E1" s="164"/>
      <c r="F1" s="164"/>
      <c r="H1" s="161"/>
      <c r="I1" s="161"/>
      <c r="J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</row>
    <row r="2">
      <c r="A2" s="166" t="s">
        <v>47</v>
      </c>
      <c r="B2" s="167" t="s">
        <v>109</v>
      </c>
      <c r="D2" s="164"/>
      <c r="E2" s="164"/>
      <c r="F2" s="164"/>
      <c r="G2" s="164"/>
      <c r="H2" s="161"/>
      <c r="I2" s="161"/>
      <c r="J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</row>
    <row r="3">
      <c r="A3" s="169" t="s">
        <v>48</v>
      </c>
      <c r="B3" s="170" t="s">
        <v>165</v>
      </c>
      <c r="D3" s="164"/>
      <c r="E3" s="164"/>
      <c r="F3" s="164"/>
      <c r="G3" s="164"/>
      <c r="H3" s="161"/>
      <c r="I3" s="161"/>
      <c r="J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</row>
    <row r="4">
      <c r="A4" s="169" t="s">
        <v>166</v>
      </c>
      <c r="B4" s="171" t="s">
        <v>167</v>
      </c>
      <c r="D4" s="164"/>
      <c r="E4" s="164"/>
      <c r="F4" s="164"/>
      <c r="G4" s="164"/>
      <c r="H4" s="161"/>
      <c r="I4" s="161"/>
      <c r="J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</row>
    <row r="5">
      <c r="A5" s="169" t="s">
        <v>55</v>
      </c>
      <c r="B5" s="170" t="s">
        <v>168</v>
      </c>
      <c r="H5" s="161"/>
      <c r="I5" s="161"/>
      <c r="J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</row>
    <row r="6">
      <c r="A6" s="169" t="s">
        <v>70</v>
      </c>
      <c r="B6" s="170" t="s">
        <v>169</v>
      </c>
      <c r="H6" s="161"/>
      <c r="I6" s="161"/>
      <c r="J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</row>
    <row r="7">
      <c r="A7" s="169" t="s">
        <v>170</v>
      </c>
      <c r="B7" s="170" t="s">
        <v>171</v>
      </c>
      <c r="E7" s="161"/>
      <c r="F7" s="161"/>
      <c r="G7" s="161"/>
      <c r="H7" s="161"/>
      <c r="I7" s="161"/>
      <c r="J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</row>
    <row r="8">
      <c r="A8" s="169" t="s">
        <v>80</v>
      </c>
      <c r="B8" s="170" t="s">
        <v>172</v>
      </c>
      <c r="E8" s="161"/>
      <c r="F8" s="161"/>
      <c r="G8" s="161"/>
      <c r="H8" s="161"/>
      <c r="I8" s="161"/>
      <c r="J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</row>
    <row r="9">
      <c r="A9" s="173" t="s">
        <v>52</v>
      </c>
      <c r="B9" s="175" t="s">
        <v>173</v>
      </c>
      <c r="E9" s="161"/>
      <c r="F9" s="161"/>
      <c r="G9" s="161"/>
      <c r="H9" s="161"/>
      <c r="I9" s="161"/>
      <c r="J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</row>
    <row r="10">
      <c r="A10" s="57" t="s">
        <v>47</v>
      </c>
      <c r="B10" s="57" t="s">
        <v>109</v>
      </c>
      <c r="E10" s="161"/>
      <c r="F10" s="161"/>
      <c r="G10" s="161"/>
      <c r="H10" s="161"/>
      <c r="I10" s="161"/>
      <c r="J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</row>
    <row r="11">
      <c r="A11" s="57" t="s">
        <v>48</v>
      </c>
      <c r="B11" s="53" t="s">
        <v>165</v>
      </c>
      <c r="E11" s="161"/>
      <c r="F11" s="161"/>
      <c r="G11" s="161"/>
      <c r="H11" s="161"/>
      <c r="I11" s="161"/>
      <c r="J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</row>
    <row r="12">
      <c r="A12" s="57" t="s">
        <v>103</v>
      </c>
      <c r="B12" s="53" t="s">
        <v>174</v>
      </c>
      <c r="E12" s="161"/>
      <c r="F12" s="161"/>
      <c r="G12" s="161"/>
      <c r="H12" s="161"/>
      <c r="I12" s="161"/>
      <c r="J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</row>
    <row r="13">
      <c r="A13" s="57" t="s">
        <v>107</v>
      </c>
      <c r="B13" s="53" t="s">
        <v>175</v>
      </c>
      <c r="E13" s="161"/>
      <c r="F13" s="161"/>
      <c r="G13" s="161"/>
      <c r="H13" s="161"/>
      <c r="I13" s="161"/>
      <c r="J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</row>
    <row r="14">
      <c r="A14" s="57" t="s">
        <v>110</v>
      </c>
      <c r="B14" s="53" t="s">
        <v>176</v>
      </c>
      <c r="E14" s="161"/>
      <c r="F14" s="161"/>
      <c r="G14" s="161"/>
      <c r="H14" s="161"/>
      <c r="I14" s="161"/>
      <c r="J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</row>
    <row r="15">
      <c r="A15" s="57" t="s">
        <v>111</v>
      </c>
      <c r="B15" s="53" t="s">
        <v>177</v>
      </c>
      <c r="E15" s="161"/>
      <c r="F15" s="161"/>
      <c r="G15" s="161"/>
      <c r="H15" s="161"/>
      <c r="I15" s="161"/>
      <c r="J15" s="161"/>
      <c r="M15" s="99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</row>
    <row r="16">
      <c r="A16" s="57" t="s">
        <v>178</v>
      </c>
      <c r="B16" s="53" t="s">
        <v>179</v>
      </c>
      <c r="E16" s="161"/>
      <c r="F16" s="161"/>
      <c r="G16" s="161"/>
      <c r="H16" s="161"/>
      <c r="I16" s="161"/>
      <c r="J16" s="161"/>
      <c r="M16" s="99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</row>
    <row r="17">
      <c r="A17" s="57" t="s">
        <v>180</v>
      </c>
      <c r="B17" s="53" t="s">
        <v>181</v>
      </c>
      <c r="E17" s="161"/>
      <c r="F17" s="161"/>
      <c r="G17" s="161"/>
      <c r="H17" s="161"/>
      <c r="I17" s="161"/>
      <c r="J17" s="161"/>
      <c r="M17" s="99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</row>
    <row r="18">
      <c r="A18" s="57" t="s">
        <v>108</v>
      </c>
      <c r="B18" s="53" t="s">
        <v>182</v>
      </c>
      <c r="E18" s="161"/>
      <c r="F18" s="161"/>
      <c r="G18" s="161"/>
      <c r="H18" s="161"/>
      <c r="I18" s="161"/>
      <c r="J18" s="161"/>
      <c r="M18" s="99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</row>
    <row r="19">
      <c r="A19" s="57" t="s">
        <v>100</v>
      </c>
      <c r="B19" s="53" t="s">
        <v>184</v>
      </c>
      <c r="E19" s="161"/>
      <c r="F19" s="161"/>
      <c r="G19" s="161"/>
      <c r="H19" s="161"/>
      <c r="I19" s="161"/>
      <c r="J19" s="161"/>
      <c r="M19" s="99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</row>
    <row r="20">
      <c r="A20" s="57" t="s">
        <v>105</v>
      </c>
      <c r="B20" s="53" t="s">
        <v>171</v>
      </c>
      <c r="E20" s="161"/>
      <c r="F20" s="161"/>
      <c r="G20" s="161"/>
      <c r="H20" s="161"/>
      <c r="I20" s="161"/>
      <c r="J20" s="161"/>
      <c r="M20" s="99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</row>
    <row r="21" ht="15.75" customHeight="1">
      <c r="A21" s="57" t="s">
        <v>101</v>
      </c>
      <c r="B21" s="53" t="s">
        <v>102</v>
      </c>
      <c r="E21" s="161"/>
      <c r="F21" s="161"/>
      <c r="G21" s="161"/>
      <c r="H21" s="161"/>
      <c r="I21" s="161"/>
      <c r="J21" s="161"/>
      <c r="M21" s="99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</row>
    <row r="22" ht="15.75" customHeight="1">
      <c r="A22" s="57" t="s">
        <v>178</v>
      </c>
      <c r="B22" s="53" t="s">
        <v>179</v>
      </c>
      <c r="E22" s="161"/>
      <c r="F22" s="161"/>
      <c r="G22" s="161"/>
      <c r="H22" s="161"/>
      <c r="I22" s="161"/>
      <c r="J22" s="161"/>
      <c r="M22" s="99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</row>
    <row r="23" ht="15.75" customHeight="1">
      <c r="A23" s="57" t="s">
        <v>106</v>
      </c>
      <c r="B23" s="53" t="s">
        <v>171</v>
      </c>
      <c r="E23" s="161"/>
      <c r="F23" s="161"/>
      <c r="G23" s="161"/>
      <c r="H23" s="161"/>
      <c r="I23" s="161"/>
      <c r="J23" s="161"/>
      <c r="M23" s="99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</row>
    <row r="24" ht="15.75" customHeight="1">
      <c r="A24" s="182" t="s">
        <v>40</v>
      </c>
      <c r="B24" s="105" t="s">
        <v>53</v>
      </c>
      <c r="E24" s="161"/>
      <c r="F24" s="161"/>
      <c r="G24" s="161"/>
      <c r="H24" s="161"/>
      <c r="I24" s="161"/>
      <c r="J24" s="161"/>
      <c r="M24" s="99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</row>
    <row r="25" ht="15.75" customHeight="1">
      <c r="A25" s="59" t="s">
        <v>45</v>
      </c>
      <c r="B25" s="57" t="s">
        <v>41</v>
      </c>
      <c r="E25" s="161"/>
      <c r="F25" s="161"/>
      <c r="G25" s="161"/>
      <c r="H25" s="161"/>
      <c r="I25" s="161"/>
      <c r="J25" s="161"/>
      <c r="M25" s="99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</row>
    <row r="26" ht="15.75" customHeight="1">
      <c r="A26" s="59" t="s">
        <v>43</v>
      </c>
      <c r="B26" s="183" t="s">
        <v>185</v>
      </c>
      <c r="E26" s="161"/>
      <c r="F26" s="161"/>
      <c r="G26" s="161"/>
      <c r="H26" s="161"/>
      <c r="I26" s="161"/>
      <c r="J26" s="161"/>
      <c r="M26" s="99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</row>
    <row r="27" ht="15.75" customHeight="1">
      <c r="A27" s="59" t="s">
        <v>50</v>
      </c>
      <c r="B27" s="183" t="s">
        <v>186</v>
      </c>
      <c r="E27" s="161"/>
      <c r="F27" s="161"/>
      <c r="G27" s="161"/>
      <c r="H27" s="161"/>
      <c r="I27" s="161"/>
      <c r="J27" s="161"/>
      <c r="M27" s="99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</row>
    <row r="28" ht="15.75" customHeight="1">
      <c r="A28" s="59" t="s">
        <v>54</v>
      </c>
      <c r="B28" s="183" t="s">
        <v>187</v>
      </c>
      <c r="E28" s="161"/>
      <c r="F28" s="161"/>
      <c r="G28" s="161"/>
      <c r="H28" s="161"/>
      <c r="I28" s="161"/>
      <c r="J28" s="161"/>
      <c r="M28" s="99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</row>
    <row r="29" ht="15.75" customHeight="1">
      <c r="A29" s="59" t="s">
        <v>58</v>
      </c>
      <c r="B29" s="183" t="s">
        <v>188</v>
      </c>
      <c r="E29" s="161"/>
      <c r="F29" s="161"/>
      <c r="G29" s="161"/>
      <c r="H29" s="161"/>
      <c r="I29" s="161"/>
      <c r="J29" s="161"/>
      <c r="M29" s="99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</row>
    <row r="30" ht="15.75" customHeight="1">
      <c r="A30" s="59" t="s">
        <v>61</v>
      </c>
      <c r="B30" s="57" t="s">
        <v>189</v>
      </c>
      <c r="E30" s="161"/>
      <c r="F30" s="161"/>
      <c r="G30" s="161"/>
      <c r="H30" s="161"/>
      <c r="I30" s="161"/>
      <c r="J30" s="161"/>
      <c r="M30" s="99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</row>
    <row r="31" ht="15.75" customHeight="1">
      <c r="A31" s="59" t="s">
        <v>62</v>
      </c>
      <c r="B31" s="183" t="s">
        <v>190</v>
      </c>
      <c r="E31" s="161"/>
      <c r="F31" s="161"/>
      <c r="G31" s="161"/>
      <c r="H31" s="161"/>
      <c r="I31" s="161"/>
      <c r="J31" s="161"/>
      <c r="M31" s="99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</row>
    <row r="32" ht="15.75" customHeight="1">
      <c r="A32" s="59" t="s">
        <v>65</v>
      </c>
      <c r="B32" s="183" t="s">
        <v>191</v>
      </c>
      <c r="E32" s="161"/>
      <c r="F32" s="161"/>
      <c r="G32" s="161"/>
      <c r="H32" s="161"/>
      <c r="I32" s="161"/>
      <c r="J32" s="161"/>
      <c r="M32" s="99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</row>
    <row r="33" ht="15.75" customHeight="1">
      <c r="A33" s="59" t="s">
        <v>43</v>
      </c>
      <c r="B33" s="183" t="s">
        <v>185</v>
      </c>
      <c r="E33" s="161"/>
      <c r="F33" s="161"/>
      <c r="G33" s="161"/>
      <c r="H33" s="161"/>
      <c r="I33" s="161"/>
      <c r="J33" s="161"/>
      <c r="M33" s="99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</row>
    <row r="34" ht="15.75" customHeight="1">
      <c r="A34" s="59" t="s">
        <v>50</v>
      </c>
      <c r="B34" s="183" t="s">
        <v>186</v>
      </c>
      <c r="E34" s="161"/>
      <c r="F34" s="161"/>
      <c r="G34" s="161"/>
      <c r="H34" s="161"/>
      <c r="I34" s="161"/>
      <c r="J34" s="161"/>
      <c r="M34" s="99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</row>
    <row r="35" ht="15.75" customHeight="1">
      <c r="A35" s="59" t="s">
        <v>54</v>
      </c>
      <c r="B35" s="183" t="s">
        <v>187</v>
      </c>
      <c r="E35" s="161"/>
      <c r="F35" s="161"/>
      <c r="G35" s="161"/>
      <c r="H35" s="161"/>
      <c r="I35" s="161"/>
      <c r="J35" s="161"/>
      <c r="M35" s="99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</row>
    <row r="36" ht="15.75" customHeight="1">
      <c r="A36" s="59" t="s">
        <v>58</v>
      </c>
      <c r="B36" s="183" t="s">
        <v>188</v>
      </c>
      <c r="E36" s="161"/>
      <c r="F36" s="161"/>
      <c r="G36" s="161"/>
      <c r="H36" s="161"/>
      <c r="I36" s="161"/>
      <c r="J36" s="161"/>
      <c r="M36" s="99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</row>
    <row r="37" ht="15.75" customHeight="1">
      <c r="A37" s="59" t="s">
        <v>61</v>
      </c>
      <c r="B37" s="57" t="s">
        <v>196</v>
      </c>
      <c r="E37" s="161"/>
      <c r="F37" s="161"/>
      <c r="G37" s="161"/>
      <c r="H37" s="161"/>
      <c r="I37" s="161"/>
      <c r="J37" s="161"/>
      <c r="M37" s="99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</row>
    <row r="38" ht="15.75" customHeight="1">
      <c r="A38" s="59" t="s">
        <v>62</v>
      </c>
      <c r="B38" s="183" t="s">
        <v>190</v>
      </c>
      <c r="E38" s="161"/>
      <c r="F38" s="161"/>
      <c r="G38" s="161"/>
      <c r="H38" s="161"/>
      <c r="I38" s="161"/>
      <c r="J38" s="161"/>
      <c r="M38" s="99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</row>
    <row r="39" ht="15.75" customHeight="1">
      <c r="A39" s="59" t="s">
        <v>65</v>
      </c>
      <c r="B39" s="183" t="s">
        <v>191</v>
      </c>
      <c r="E39" s="161"/>
      <c r="F39" s="161"/>
      <c r="G39" s="161"/>
      <c r="H39" s="161"/>
      <c r="I39" s="161"/>
      <c r="J39" s="161"/>
      <c r="M39" s="99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</row>
    <row r="40" ht="15.75" customHeight="1">
      <c r="A40" s="59" t="s">
        <v>43</v>
      </c>
      <c r="B40" s="183" t="s">
        <v>185</v>
      </c>
      <c r="E40" s="161"/>
      <c r="F40" s="161"/>
      <c r="G40" s="161"/>
      <c r="H40" s="161"/>
      <c r="I40" s="161"/>
      <c r="J40" s="161"/>
      <c r="M40" s="99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</row>
    <row r="41" ht="15.75" customHeight="1">
      <c r="A41" s="70" t="s">
        <v>50</v>
      </c>
      <c r="B41" s="183" t="s">
        <v>186</v>
      </c>
      <c r="E41" s="161"/>
      <c r="F41" s="161"/>
      <c r="G41" s="161"/>
      <c r="H41" s="161"/>
      <c r="I41" s="161"/>
      <c r="J41" s="161"/>
      <c r="M41" s="99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</row>
    <row r="42" ht="15.75" customHeight="1">
      <c r="A42" s="70" t="s">
        <v>54</v>
      </c>
      <c r="B42" s="183" t="s">
        <v>187</v>
      </c>
      <c r="E42" s="161"/>
      <c r="F42" s="161"/>
      <c r="G42" s="161"/>
      <c r="H42" s="161"/>
      <c r="I42" s="161"/>
      <c r="J42" s="161"/>
      <c r="M42" s="99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</row>
    <row r="43" ht="15.75" customHeight="1">
      <c r="A43" s="70" t="s">
        <v>58</v>
      </c>
      <c r="B43" s="183" t="s">
        <v>188</v>
      </c>
      <c r="E43" s="161"/>
      <c r="F43" s="161"/>
      <c r="G43" s="161"/>
      <c r="H43" s="161"/>
      <c r="I43" s="161"/>
      <c r="J43" s="161"/>
      <c r="M43" s="99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</row>
    <row r="44" ht="15.75" customHeight="1">
      <c r="A44" s="59" t="s">
        <v>62</v>
      </c>
      <c r="B44" s="183" t="s">
        <v>190</v>
      </c>
      <c r="E44" s="161"/>
      <c r="F44" s="161"/>
      <c r="G44" s="161"/>
      <c r="H44" s="161"/>
      <c r="I44" s="161"/>
      <c r="J44" s="161"/>
      <c r="M44" s="99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</row>
    <row r="45" ht="15.75" customHeight="1">
      <c r="A45" s="80" t="s">
        <v>59</v>
      </c>
      <c r="B45" s="80" t="s">
        <v>200</v>
      </c>
      <c r="E45" s="161"/>
      <c r="F45" s="161"/>
      <c r="G45" s="161"/>
      <c r="H45" s="161"/>
      <c r="I45" s="161"/>
      <c r="J45" s="161"/>
      <c r="M45" s="99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</row>
    <row r="46" ht="15.75" customHeight="1">
      <c r="A46" s="80" t="s">
        <v>60</v>
      </c>
      <c r="B46" s="80" t="s">
        <v>201</v>
      </c>
      <c r="E46" s="161"/>
      <c r="F46" s="161"/>
      <c r="G46" s="161"/>
      <c r="H46" s="161"/>
      <c r="I46" s="161"/>
      <c r="J46" s="161"/>
      <c r="M46" s="99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</row>
    <row r="47" ht="15.75" customHeight="1">
      <c r="A47" s="80" t="s">
        <v>72</v>
      </c>
      <c r="B47" s="80" t="s">
        <v>202</v>
      </c>
      <c r="E47" s="161"/>
      <c r="F47" s="161"/>
      <c r="G47" s="161"/>
      <c r="H47" s="161"/>
      <c r="I47" s="161"/>
      <c r="J47" s="161"/>
      <c r="M47" s="99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</row>
    <row r="48" ht="15.75" customHeight="1">
      <c r="A48" s="80" t="s">
        <v>77</v>
      </c>
      <c r="B48" s="80" t="s">
        <v>203</v>
      </c>
      <c r="E48" s="161"/>
      <c r="F48" s="161"/>
      <c r="G48" s="161"/>
      <c r="H48" s="161"/>
      <c r="I48" s="161"/>
      <c r="J48" s="161"/>
      <c r="M48" s="99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</row>
    <row r="49" ht="15.75" customHeight="1">
      <c r="A49" s="80" t="s">
        <v>81</v>
      </c>
      <c r="B49" s="80" t="s">
        <v>204</v>
      </c>
      <c r="E49" s="161"/>
      <c r="F49" s="161"/>
      <c r="G49" s="161"/>
      <c r="H49" s="161"/>
      <c r="I49" s="161"/>
      <c r="J49" s="161"/>
      <c r="M49" s="99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</row>
    <row r="50" ht="15.75" customHeight="1">
      <c r="A50" s="80" t="s">
        <v>84</v>
      </c>
      <c r="B50" s="80" t="s">
        <v>205</v>
      </c>
      <c r="E50" s="161"/>
      <c r="F50" s="161"/>
      <c r="G50" s="161"/>
      <c r="H50" s="161"/>
      <c r="I50" s="161"/>
      <c r="J50" s="161"/>
      <c r="M50" s="99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</row>
    <row r="51" ht="15.75" customHeight="1">
      <c r="A51" s="18" t="s">
        <v>63</v>
      </c>
      <c r="B51" s="183" t="s">
        <v>206</v>
      </c>
      <c r="E51" s="161"/>
      <c r="F51" s="161"/>
      <c r="G51" s="161"/>
      <c r="H51" s="161"/>
      <c r="I51" s="161"/>
      <c r="J51" s="161"/>
      <c r="M51" s="99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</row>
    <row r="52" ht="15.75" customHeight="1">
      <c r="A52" s="18" t="s">
        <v>73</v>
      </c>
      <c r="B52" s="183" t="s">
        <v>207</v>
      </c>
      <c r="E52" s="161"/>
      <c r="F52" s="161"/>
      <c r="G52" s="161"/>
      <c r="H52" s="161"/>
      <c r="I52" s="161"/>
      <c r="J52" s="161"/>
      <c r="M52" s="99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</row>
    <row r="53" ht="15.75" customHeight="1">
      <c r="A53" s="18" t="s">
        <v>78</v>
      </c>
      <c r="B53" s="183" t="s">
        <v>208</v>
      </c>
      <c r="E53" s="161"/>
      <c r="F53" s="161"/>
      <c r="G53" s="161"/>
      <c r="H53" s="161"/>
      <c r="I53" s="161"/>
      <c r="J53" s="161"/>
      <c r="M53" s="99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</row>
    <row r="54" ht="15.75" customHeight="1">
      <c r="A54" s="80" t="s">
        <v>82</v>
      </c>
      <c r="B54" s="80" t="s">
        <v>209</v>
      </c>
      <c r="E54" s="161"/>
      <c r="F54" s="161"/>
      <c r="G54" s="161"/>
      <c r="H54" s="161"/>
      <c r="I54" s="161"/>
      <c r="J54" s="161"/>
      <c r="M54" s="99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</row>
    <row r="55" ht="15.75" customHeight="1">
      <c r="A55" s="80" t="s">
        <v>85</v>
      </c>
      <c r="B55" s="80" t="s">
        <v>210</v>
      </c>
      <c r="E55" s="161"/>
      <c r="F55" s="161"/>
      <c r="G55" s="161"/>
      <c r="H55" s="161"/>
      <c r="I55" s="161"/>
      <c r="J55" s="161"/>
      <c r="M55" s="99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</row>
    <row r="56" ht="15.75" customHeight="1">
      <c r="A56" s="80" t="s">
        <v>87</v>
      </c>
      <c r="B56" s="84" t="s">
        <v>211</v>
      </c>
      <c r="E56" s="161"/>
      <c r="F56" s="161"/>
      <c r="G56" s="161"/>
      <c r="H56" s="161"/>
      <c r="I56" s="161"/>
      <c r="J56" s="161"/>
      <c r="M56" s="99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</row>
    <row r="57" ht="15.75" customHeight="1">
      <c r="A57" s="80" t="s">
        <v>88</v>
      </c>
      <c r="B57" s="84" t="s">
        <v>212</v>
      </c>
      <c r="E57" s="161"/>
      <c r="F57" s="161"/>
      <c r="G57" s="161"/>
      <c r="H57" s="161"/>
      <c r="I57" s="161"/>
      <c r="J57" s="161"/>
      <c r="M57" s="99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</row>
    <row r="58" ht="15.75" customHeight="1">
      <c r="A58" s="80" t="s">
        <v>67</v>
      </c>
      <c r="B58" s="80" t="s">
        <v>213</v>
      </c>
      <c r="E58" s="161"/>
      <c r="F58" s="161"/>
      <c r="G58" s="161"/>
      <c r="H58" s="161"/>
      <c r="I58" s="161"/>
      <c r="J58" s="161"/>
      <c r="M58" s="99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</row>
    <row r="59" ht="15.75" customHeight="1">
      <c r="A59" s="80" t="s">
        <v>74</v>
      </c>
      <c r="B59" s="80" t="s">
        <v>214</v>
      </c>
      <c r="E59" s="161"/>
      <c r="F59" s="161"/>
      <c r="G59" s="161"/>
      <c r="H59" s="161"/>
      <c r="I59" s="161"/>
      <c r="J59" s="161"/>
      <c r="M59" s="99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</row>
    <row r="60" ht="15.75" customHeight="1">
      <c r="A60" s="80" t="s">
        <v>79</v>
      </c>
      <c r="B60" s="80" t="s">
        <v>216</v>
      </c>
      <c r="E60" s="161"/>
      <c r="F60" s="161"/>
      <c r="G60" s="161"/>
      <c r="H60" s="161"/>
      <c r="I60" s="161"/>
      <c r="J60" s="161"/>
      <c r="M60" s="99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</row>
    <row r="61" ht="15.75" customHeight="1">
      <c r="A61" s="18" t="s">
        <v>122</v>
      </c>
      <c r="B61" s="18" t="s">
        <v>217</v>
      </c>
      <c r="E61" s="161"/>
      <c r="F61" s="161"/>
      <c r="G61" s="161"/>
      <c r="H61" s="161"/>
      <c r="I61" s="161"/>
      <c r="J61" s="161"/>
      <c r="M61" s="99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</row>
    <row r="62" ht="15.75" customHeight="1">
      <c r="A62" s="188" t="s">
        <v>123</v>
      </c>
      <c r="B62" s="84" t="s">
        <v>218</v>
      </c>
      <c r="E62" s="161"/>
      <c r="F62" s="161"/>
      <c r="G62" s="161"/>
      <c r="H62" s="161"/>
      <c r="I62" s="161"/>
      <c r="J62" s="161"/>
      <c r="M62" s="99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</row>
    <row r="63" ht="15.75" customHeight="1">
      <c r="A63" s="188" t="s">
        <v>131</v>
      </c>
      <c r="B63" s="80" t="s">
        <v>219</v>
      </c>
      <c r="E63" s="161"/>
      <c r="F63" s="161"/>
      <c r="G63" s="161"/>
      <c r="H63" s="161"/>
      <c r="I63" s="161"/>
      <c r="J63" s="161"/>
      <c r="M63" s="99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</row>
    <row r="64" ht="15.75" customHeight="1">
      <c r="A64" s="188" t="s">
        <v>136</v>
      </c>
      <c r="B64" s="80" t="s">
        <v>220</v>
      </c>
      <c r="E64" s="161"/>
      <c r="F64" s="161"/>
      <c r="G64" s="161"/>
      <c r="H64" s="161"/>
      <c r="I64" s="161"/>
      <c r="J64" s="161"/>
      <c r="M64" s="99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</row>
    <row r="65" ht="15.75" customHeight="1">
      <c r="A65" s="188" t="s">
        <v>140</v>
      </c>
      <c r="B65" s="80" t="s">
        <v>221</v>
      </c>
      <c r="E65" s="161"/>
      <c r="F65" s="161"/>
      <c r="G65" s="161"/>
      <c r="H65" s="161"/>
      <c r="I65" s="161"/>
      <c r="J65" s="161"/>
      <c r="M65" s="99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</row>
    <row r="66" ht="15.75" customHeight="1">
      <c r="A66" s="188" t="s">
        <v>147</v>
      </c>
      <c r="B66" s="80" t="s">
        <v>222</v>
      </c>
      <c r="E66" s="161"/>
      <c r="F66" s="161"/>
      <c r="G66" s="161"/>
      <c r="H66" s="161"/>
      <c r="I66" s="161"/>
      <c r="J66" s="161"/>
      <c r="M66" s="99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</row>
    <row r="67" ht="15.75" customHeight="1">
      <c r="A67" s="188" t="s">
        <v>155</v>
      </c>
      <c r="B67" s="80" t="s">
        <v>223</v>
      </c>
      <c r="E67" s="161"/>
      <c r="F67" s="161"/>
      <c r="G67" s="161"/>
      <c r="H67" s="161"/>
      <c r="I67" s="161"/>
      <c r="J67" s="161"/>
      <c r="M67" s="99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</row>
    <row r="68" ht="15.75" customHeight="1">
      <c r="A68" s="80" t="s">
        <v>124</v>
      </c>
      <c r="B68" s="189" t="s">
        <v>224</v>
      </c>
      <c r="E68" s="161"/>
      <c r="F68" s="161"/>
      <c r="G68" s="161"/>
      <c r="H68" s="161"/>
      <c r="I68" s="161"/>
      <c r="J68" s="161"/>
      <c r="M68" s="99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</row>
    <row r="69" ht="15.75" customHeight="1">
      <c r="A69" s="190" t="s">
        <v>132</v>
      </c>
      <c r="B69" s="189" t="s">
        <v>225</v>
      </c>
      <c r="E69" s="161"/>
      <c r="F69" s="161"/>
      <c r="G69" s="161"/>
      <c r="H69" s="161"/>
      <c r="I69" s="161"/>
      <c r="J69" s="161"/>
      <c r="M69" s="99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</row>
    <row r="70" ht="15.75" customHeight="1">
      <c r="A70" s="80" t="s">
        <v>137</v>
      </c>
      <c r="B70" s="189" t="s">
        <v>226</v>
      </c>
      <c r="E70" s="161"/>
      <c r="F70" s="161"/>
      <c r="G70" s="161"/>
      <c r="H70" s="161"/>
      <c r="I70" s="161"/>
      <c r="J70" s="161"/>
      <c r="M70" s="99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</row>
    <row r="71" ht="15.75" customHeight="1">
      <c r="A71" s="80" t="s">
        <v>141</v>
      </c>
      <c r="B71" s="189" t="s">
        <v>227</v>
      </c>
      <c r="E71" s="161"/>
      <c r="F71" s="161"/>
      <c r="G71" s="161"/>
      <c r="H71" s="161"/>
      <c r="I71" s="161"/>
      <c r="J71" s="161"/>
      <c r="M71" s="99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</row>
    <row r="72" ht="15.75" customHeight="1">
      <c r="A72" s="188" t="s">
        <v>148</v>
      </c>
      <c r="B72" s="189" t="s">
        <v>228</v>
      </c>
      <c r="E72" s="161"/>
      <c r="F72" s="161"/>
      <c r="G72" s="161"/>
      <c r="H72" s="161"/>
      <c r="I72" s="161"/>
      <c r="J72" s="161"/>
      <c r="M72" s="99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</row>
    <row r="73" ht="15.75" customHeight="1">
      <c r="A73" s="188" t="s">
        <v>156</v>
      </c>
      <c r="B73" s="189" t="s">
        <v>229</v>
      </c>
      <c r="E73" s="161"/>
      <c r="F73" s="161"/>
      <c r="G73" s="161"/>
      <c r="H73" s="161"/>
      <c r="I73" s="161"/>
      <c r="J73" s="161"/>
      <c r="M73" s="99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</row>
    <row r="74" ht="15.75" customHeight="1">
      <c r="A74" s="80" t="s">
        <v>67</v>
      </c>
      <c r="B74" s="189" t="s">
        <v>230</v>
      </c>
      <c r="E74" s="161"/>
      <c r="F74" s="161"/>
      <c r="G74" s="161"/>
      <c r="H74" s="161"/>
      <c r="I74" s="161"/>
      <c r="J74" s="161"/>
      <c r="M74" s="99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</row>
    <row r="75" ht="15.75" customHeight="1">
      <c r="A75" s="191" t="s">
        <v>133</v>
      </c>
      <c r="B75" s="189" t="s">
        <v>231</v>
      </c>
      <c r="E75" s="161"/>
      <c r="F75" s="161"/>
      <c r="G75" s="161"/>
      <c r="H75" s="161"/>
      <c r="I75" s="161"/>
      <c r="J75" s="161"/>
      <c r="M75" s="99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</row>
    <row r="76" ht="15.75" customHeight="1">
      <c r="A76" s="80" t="s">
        <v>138</v>
      </c>
      <c r="B76" s="189" t="s">
        <v>232</v>
      </c>
      <c r="E76" s="161"/>
      <c r="F76" s="161"/>
      <c r="G76" s="161"/>
      <c r="H76" s="161"/>
      <c r="I76" s="161"/>
      <c r="J76" s="161"/>
      <c r="M76" s="99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</row>
    <row r="77" ht="15.75" customHeight="1">
      <c r="A77" s="192" t="s">
        <v>142</v>
      </c>
      <c r="B77" s="189" t="s">
        <v>233</v>
      </c>
      <c r="E77" s="161"/>
      <c r="F77" s="161"/>
      <c r="G77" s="161"/>
      <c r="H77" s="161"/>
      <c r="I77" s="161"/>
      <c r="J77" s="161"/>
      <c r="M77" s="99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</row>
    <row r="78" ht="15.75" customHeight="1">
      <c r="A78" s="192" t="s">
        <v>150</v>
      </c>
      <c r="B78" s="189" t="s">
        <v>234</v>
      </c>
      <c r="E78" s="161"/>
      <c r="F78" s="161"/>
      <c r="G78" s="161"/>
      <c r="H78" s="161"/>
      <c r="I78" s="161"/>
      <c r="J78" s="161"/>
      <c r="M78" s="99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</row>
    <row r="79" ht="15.75" customHeight="1">
      <c r="A79" s="80" t="s">
        <v>157</v>
      </c>
      <c r="B79" s="189" t="s">
        <v>235</v>
      </c>
      <c r="E79" s="161"/>
      <c r="F79" s="161"/>
      <c r="G79" s="161"/>
      <c r="H79" s="161"/>
      <c r="I79" s="161"/>
      <c r="J79" s="161"/>
      <c r="M79" s="99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</row>
    <row r="80" ht="15.75" customHeight="1">
      <c r="A80" s="192" t="s">
        <v>160</v>
      </c>
      <c r="B80" s="189" t="s">
        <v>236</v>
      </c>
      <c r="E80" s="161"/>
      <c r="F80" s="161"/>
      <c r="G80" s="161"/>
      <c r="H80" s="161"/>
      <c r="I80" s="161"/>
      <c r="J80" s="161"/>
      <c r="M80" s="99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</row>
    <row r="81" ht="15.75" customHeight="1">
      <c r="A81" s="192" t="s">
        <v>161</v>
      </c>
      <c r="B81" s="189" t="s">
        <v>237</v>
      </c>
      <c r="E81" s="161"/>
      <c r="F81" s="161"/>
      <c r="G81" s="161"/>
      <c r="H81" s="161"/>
      <c r="I81" s="161"/>
      <c r="J81" s="161"/>
      <c r="M81" s="99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</row>
    <row r="82" ht="15.75" customHeight="1">
      <c r="A82" s="192" t="s">
        <v>163</v>
      </c>
      <c r="B82" s="189" t="s">
        <v>238</v>
      </c>
      <c r="E82" s="161"/>
      <c r="F82" s="161"/>
      <c r="G82" s="161"/>
      <c r="H82" s="161"/>
      <c r="I82" s="161"/>
      <c r="J82" s="161"/>
      <c r="M82" s="99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</row>
    <row r="83" ht="15.75" customHeight="1">
      <c r="A83" s="80" t="s">
        <v>164</v>
      </c>
      <c r="B83" s="189" t="s">
        <v>239</v>
      </c>
      <c r="E83" s="161"/>
      <c r="F83" s="161"/>
      <c r="G83" s="161"/>
      <c r="H83" s="161"/>
      <c r="I83" s="161"/>
      <c r="J83" s="161"/>
      <c r="M83" s="99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</row>
    <row r="84" ht="15.75" customHeight="1">
      <c r="A84" s="188" t="s">
        <v>125</v>
      </c>
      <c r="B84" s="84" t="s">
        <v>240</v>
      </c>
      <c r="E84" s="161"/>
      <c r="F84" s="161"/>
      <c r="G84" s="161"/>
      <c r="H84" s="161"/>
      <c r="I84" s="161"/>
      <c r="J84" s="161"/>
      <c r="M84" s="99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</row>
    <row r="85" ht="15.75" customHeight="1">
      <c r="A85" s="80" t="s">
        <v>134</v>
      </c>
      <c r="B85" s="80" t="s">
        <v>241</v>
      </c>
      <c r="E85" s="161"/>
      <c r="F85" s="161"/>
      <c r="G85" s="161"/>
      <c r="H85" s="161"/>
      <c r="I85" s="161"/>
      <c r="J85" s="161"/>
      <c r="M85" s="99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</row>
    <row r="86" ht="15.75" customHeight="1">
      <c r="A86" s="188" t="s">
        <v>126</v>
      </c>
      <c r="B86" s="84" t="s">
        <v>242</v>
      </c>
      <c r="E86" s="161"/>
      <c r="F86" s="161"/>
      <c r="G86" s="161"/>
      <c r="H86" s="161"/>
      <c r="I86" s="161"/>
      <c r="J86" s="161"/>
      <c r="M86" s="99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</row>
    <row r="87" ht="15.75" customHeight="1">
      <c r="A87" s="188" t="s">
        <v>127</v>
      </c>
      <c r="B87" s="84" t="s">
        <v>243</v>
      </c>
      <c r="E87" s="161"/>
      <c r="F87" s="161"/>
      <c r="G87" s="161"/>
      <c r="H87" s="161"/>
      <c r="I87" s="161"/>
      <c r="J87" s="161"/>
      <c r="M87" s="99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</row>
    <row r="88" ht="15.75" customHeight="1">
      <c r="A88" s="80" t="s">
        <v>128</v>
      </c>
      <c r="B88" s="189" t="s">
        <v>244</v>
      </c>
      <c r="E88" s="161"/>
      <c r="F88" s="161"/>
      <c r="G88" s="161"/>
      <c r="H88" s="161"/>
      <c r="I88" s="161"/>
      <c r="J88" s="161"/>
      <c r="M88" s="99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</row>
    <row r="89" ht="15.75" customHeight="1">
      <c r="A89" s="80" t="s">
        <v>129</v>
      </c>
      <c r="B89" s="193" t="s">
        <v>245</v>
      </c>
      <c r="E89" s="161"/>
      <c r="F89" s="161"/>
      <c r="G89" s="161"/>
      <c r="H89" s="161"/>
      <c r="I89" s="161"/>
      <c r="J89" s="161"/>
      <c r="M89" s="99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</row>
    <row r="90" ht="15.75" customHeight="1">
      <c r="A90" s="80" t="s">
        <v>135</v>
      </c>
      <c r="B90" s="193" t="s">
        <v>246</v>
      </c>
      <c r="E90" s="161"/>
      <c r="F90" s="161"/>
      <c r="G90" s="161"/>
      <c r="H90" s="161"/>
      <c r="I90" s="161"/>
      <c r="J90" s="161"/>
      <c r="M90" s="99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</row>
    <row r="91" ht="15.75" customHeight="1">
      <c r="A91" s="80" t="s">
        <v>139</v>
      </c>
      <c r="B91" s="84" t="s">
        <v>242</v>
      </c>
      <c r="E91" s="161"/>
      <c r="F91" s="161"/>
      <c r="G91" s="161"/>
      <c r="H91" s="161"/>
      <c r="I91" s="161"/>
      <c r="J91" s="161"/>
      <c r="M91" s="99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</row>
    <row r="92" ht="15.75" customHeight="1">
      <c r="A92" s="80" t="s">
        <v>143</v>
      </c>
      <c r="B92" s="84" t="s">
        <v>247</v>
      </c>
      <c r="E92" s="161"/>
      <c r="F92" s="161"/>
      <c r="G92" s="161"/>
      <c r="H92" s="161"/>
      <c r="I92" s="161"/>
      <c r="J92" s="161"/>
      <c r="M92" s="99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</row>
    <row r="93" ht="15.75" customHeight="1">
      <c r="A93" s="80" t="s">
        <v>248</v>
      </c>
      <c r="B93" s="80" t="s">
        <v>249</v>
      </c>
      <c r="E93" s="161"/>
      <c r="F93" s="161"/>
      <c r="G93" s="161"/>
      <c r="H93" s="161"/>
      <c r="I93" s="161"/>
      <c r="J93" s="161"/>
      <c r="M93" s="99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</row>
    <row r="94" ht="15.75" customHeight="1">
      <c r="A94" s="194" t="s">
        <v>250</v>
      </c>
      <c r="B94" s="194" t="s">
        <v>251</v>
      </c>
      <c r="E94" s="161"/>
      <c r="F94" s="161"/>
      <c r="G94" s="161"/>
      <c r="H94" s="161"/>
      <c r="I94" s="161"/>
      <c r="J94" s="161"/>
      <c r="M94" s="99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</row>
    <row r="95" ht="15.75" customHeight="1">
      <c r="A95" s="194" t="s">
        <v>252</v>
      </c>
      <c r="B95" s="194" t="s">
        <v>253</v>
      </c>
      <c r="E95" s="161"/>
      <c r="F95" s="161"/>
      <c r="G95" s="161"/>
      <c r="H95" s="161"/>
      <c r="I95" s="161"/>
      <c r="J95" s="161"/>
      <c r="M95" s="99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</row>
    <row r="96" ht="15.75" customHeight="1">
      <c r="A96" s="161"/>
      <c r="B96" s="161"/>
      <c r="E96" s="161"/>
      <c r="F96" s="161"/>
      <c r="G96" s="161"/>
      <c r="H96" s="161"/>
      <c r="I96" s="161"/>
      <c r="J96" s="161"/>
      <c r="M96" s="99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</row>
    <row r="97" ht="15.75" customHeight="1">
      <c r="A97" s="161"/>
      <c r="B97" s="161"/>
      <c r="E97" s="161"/>
      <c r="F97" s="161"/>
      <c r="G97" s="161"/>
      <c r="H97" s="161"/>
      <c r="I97" s="161"/>
      <c r="J97" s="161"/>
      <c r="M97" s="99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</row>
    <row r="98" ht="15.75" customHeight="1">
      <c r="A98" s="161"/>
      <c r="B98" s="161"/>
      <c r="E98" s="161"/>
      <c r="F98" s="161"/>
      <c r="G98" s="161"/>
      <c r="H98" s="161"/>
      <c r="I98" s="161"/>
      <c r="J98" s="161"/>
      <c r="M98" s="99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</row>
    <row r="99" ht="15.75" customHeight="1">
      <c r="A99" s="161"/>
      <c r="B99" s="161"/>
      <c r="E99" s="161"/>
      <c r="F99" s="161"/>
      <c r="G99" s="161"/>
      <c r="H99" s="161"/>
      <c r="I99" s="161"/>
      <c r="J99" s="161"/>
      <c r="M99" s="99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</row>
    <row r="100" ht="15.75" customHeight="1">
      <c r="A100" s="161"/>
      <c r="B100" s="161"/>
      <c r="E100" s="161"/>
      <c r="F100" s="161"/>
      <c r="G100" s="161"/>
      <c r="H100" s="161"/>
      <c r="I100" s="161"/>
      <c r="J100" s="161"/>
      <c r="M100" s="99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</row>
    <row r="101" ht="15.75" customHeight="1">
      <c r="A101" s="161"/>
      <c r="B101" s="161"/>
      <c r="E101" s="161"/>
      <c r="F101" s="161"/>
      <c r="G101" s="161"/>
      <c r="H101" s="161"/>
      <c r="I101" s="161"/>
      <c r="J101" s="161"/>
      <c r="M101" s="99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</row>
    <row r="102" ht="15.75" customHeight="1">
      <c r="A102" s="161"/>
      <c r="B102" s="161"/>
      <c r="E102" s="161"/>
      <c r="F102" s="161"/>
      <c r="G102" s="161"/>
      <c r="H102" s="161"/>
      <c r="I102" s="161"/>
      <c r="J102" s="161"/>
      <c r="M102" s="99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</row>
    <row r="103" ht="15.75" customHeight="1">
      <c r="A103" s="161"/>
      <c r="B103" s="161"/>
      <c r="E103" s="161"/>
      <c r="F103" s="161"/>
      <c r="G103" s="161"/>
      <c r="H103" s="161"/>
      <c r="I103" s="161"/>
      <c r="J103" s="161"/>
      <c r="M103" s="99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</row>
    <row r="104" ht="15.75" customHeight="1">
      <c r="A104" s="161"/>
      <c r="B104" s="161"/>
      <c r="E104" s="161"/>
      <c r="F104" s="161"/>
      <c r="G104" s="161"/>
      <c r="H104" s="161"/>
      <c r="I104" s="161"/>
      <c r="J104" s="161"/>
      <c r="M104" s="99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</row>
    <row r="105" ht="15.75" customHeight="1">
      <c r="A105" s="161"/>
      <c r="B105" s="161"/>
      <c r="E105" s="161"/>
      <c r="F105" s="161"/>
      <c r="G105" s="161"/>
      <c r="H105" s="161"/>
      <c r="I105" s="161"/>
      <c r="J105" s="161"/>
      <c r="M105" s="99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</row>
    <row r="106" ht="15.75" customHeight="1">
      <c r="A106" s="161"/>
      <c r="B106" s="161"/>
      <c r="E106" s="161"/>
      <c r="F106" s="161"/>
      <c r="G106" s="161"/>
      <c r="H106" s="161"/>
      <c r="I106" s="161"/>
      <c r="J106" s="161"/>
      <c r="M106" s="99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</row>
    <row r="107" ht="15.75" customHeight="1">
      <c r="A107" s="161"/>
      <c r="B107" s="161"/>
      <c r="E107" s="161"/>
      <c r="F107" s="161"/>
      <c r="G107" s="161"/>
      <c r="H107" s="161"/>
      <c r="I107" s="161"/>
      <c r="J107" s="161"/>
      <c r="M107" s="99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</row>
    <row r="108" ht="15.75" customHeight="1">
      <c r="A108" s="161"/>
      <c r="B108" s="161"/>
      <c r="E108" s="161"/>
      <c r="F108" s="161"/>
      <c r="G108" s="161"/>
      <c r="H108" s="161"/>
      <c r="I108" s="161"/>
      <c r="J108" s="161"/>
      <c r="M108" s="99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</row>
    <row r="109" ht="15.75" customHeight="1">
      <c r="A109" s="161"/>
      <c r="B109" s="161"/>
      <c r="E109" s="161"/>
      <c r="F109" s="161"/>
      <c r="G109" s="161"/>
      <c r="H109" s="161"/>
      <c r="I109" s="161"/>
      <c r="J109" s="161"/>
      <c r="M109" s="99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</row>
    <row r="110" ht="15.75" customHeight="1">
      <c r="A110" s="161"/>
      <c r="B110" s="161"/>
      <c r="E110" s="161"/>
      <c r="F110" s="161"/>
      <c r="G110" s="161"/>
      <c r="H110" s="161"/>
      <c r="I110" s="161"/>
      <c r="J110" s="161"/>
      <c r="M110" s="99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</row>
    <row r="111" ht="15.75" customHeight="1">
      <c r="A111" s="161"/>
      <c r="B111" s="161"/>
      <c r="E111" s="161"/>
      <c r="F111" s="161"/>
      <c r="G111" s="161"/>
      <c r="H111" s="161"/>
      <c r="I111" s="161"/>
      <c r="J111" s="161"/>
      <c r="M111" s="99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</row>
    <row r="112" ht="15.75" customHeight="1">
      <c r="A112" s="161"/>
      <c r="B112" s="161"/>
      <c r="E112" s="161"/>
      <c r="F112" s="161"/>
      <c r="G112" s="161"/>
      <c r="H112" s="161"/>
      <c r="I112" s="161"/>
      <c r="J112" s="161"/>
      <c r="M112" s="99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</row>
    <row r="113" ht="15.75" customHeight="1">
      <c r="A113" s="161"/>
      <c r="B113" s="161"/>
      <c r="E113" s="161"/>
      <c r="F113" s="161"/>
      <c r="G113" s="161"/>
      <c r="H113" s="161"/>
      <c r="I113" s="161"/>
      <c r="J113" s="161"/>
      <c r="M113" s="99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</row>
    <row r="114" ht="15.75" customHeight="1">
      <c r="A114" s="161"/>
      <c r="B114" s="161"/>
      <c r="E114" s="161"/>
      <c r="F114" s="161"/>
      <c r="G114" s="161"/>
      <c r="H114" s="161"/>
      <c r="I114" s="161"/>
      <c r="J114" s="161"/>
      <c r="M114" s="99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</row>
    <row r="115" ht="15.75" customHeight="1">
      <c r="A115" s="161"/>
      <c r="B115" s="161"/>
      <c r="E115" s="161"/>
      <c r="F115" s="161"/>
      <c r="G115" s="161"/>
      <c r="H115" s="161"/>
      <c r="I115" s="161"/>
      <c r="J115" s="161"/>
      <c r="M115" s="99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</row>
    <row r="116" ht="15.75" customHeight="1">
      <c r="A116" s="161"/>
      <c r="B116" s="161"/>
      <c r="E116" s="161"/>
      <c r="F116" s="161"/>
      <c r="G116" s="161"/>
      <c r="H116" s="161"/>
      <c r="I116" s="161"/>
      <c r="J116" s="161"/>
      <c r="M116" s="99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</row>
    <row r="117" ht="15.75" customHeight="1">
      <c r="A117" s="161"/>
      <c r="B117" s="161"/>
      <c r="E117" s="161"/>
      <c r="F117" s="161"/>
      <c r="G117" s="161"/>
      <c r="H117" s="161"/>
      <c r="I117" s="161"/>
      <c r="J117" s="161"/>
      <c r="M117" s="99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</row>
    <row r="118" ht="15.75" customHeight="1">
      <c r="A118" s="161"/>
      <c r="B118" s="161"/>
      <c r="E118" s="161"/>
      <c r="F118" s="161"/>
      <c r="G118" s="161"/>
      <c r="H118" s="161"/>
      <c r="I118" s="161"/>
      <c r="J118" s="161"/>
      <c r="M118" s="99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</row>
    <row r="119" ht="15.75" customHeight="1">
      <c r="A119" s="161"/>
      <c r="B119" s="161"/>
      <c r="E119" s="161"/>
      <c r="F119" s="161"/>
      <c r="G119" s="161"/>
      <c r="H119" s="161"/>
      <c r="I119" s="161"/>
      <c r="J119" s="161"/>
      <c r="M119" s="99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</row>
    <row r="120" ht="15.75" customHeight="1">
      <c r="A120" s="161"/>
      <c r="B120" s="161"/>
      <c r="E120" s="161"/>
      <c r="F120" s="161"/>
      <c r="G120" s="161"/>
      <c r="H120" s="161"/>
      <c r="I120" s="161"/>
      <c r="J120" s="161"/>
      <c r="M120" s="99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</row>
    <row r="121" ht="15.75" customHeight="1">
      <c r="A121" s="161"/>
      <c r="B121" s="161"/>
      <c r="E121" s="161"/>
      <c r="F121" s="161"/>
      <c r="G121" s="161"/>
      <c r="H121" s="161"/>
      <c r="I121" s="161"/>
      <c r="J121" s="161"/>
      <c r="M121" s="99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</row>
    <row r="122" ht="15.75" customHeight="1">
      <c r="A122" s="161"/>
      <c r="B122" s="161"/>
      <c r="E122" s="161"/>
      <c r="F122" s="161"/>
      <c r="G122" s="161"/>
      <c r="H122" s="161"/>
      <c r="I122" s="161"/>
      <c r="J122" s="161"/>
      <c r="M122" s="99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</row>
    <row r="123" ht="15.75" customHeight="1">
      <c r="A123" s="161"/>
      <c r="B123" s="161"/>
      <c r="E123" s="161"/>
      <c r="F123" s="161"/>
      <c r="G123" s="161"/>
      <c r="H123" s="161"/>
      <c r="I123" s="161"/>
      <c r="J123" s="161"/>
      <c r="M123" s="99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</row>
    <row r="124" ht="15.75" customHeight="1">
      <c r="A124" s="161"/>
      <c r="B124" s="161"/>
      <c r="E124" s="161"/>
      <c r="F124" s="161"/>
      <c r="G124" s="161"/>
      <c r="H124" s="161"/>
      <c r="I124" s="161"/>
      <c r="J124" s="161"/>
      <c r="M124" s="99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</row>
    <row r="125" ht="15.75" customHeight="1">
      <c r="A125" s="161"/>
      <c r="B125" s="161"/>
      <c r="E125" s="161"/>
      <c r="F125" s="161"/>
      <c r="G125" s="161"/>
      <c r="H125" s="161"/>
      <c r="I125" s="161"/>
      <c r="J125" s="161"/>
      <c r="M125" s="99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</row>
    <row r="126" ht="15.75" customHeight="1">
      <c r="A126" s="161"/>
      <c r="B126" s="161"/>
      <c r="E126" s="161"/>
      <c r="F126" s="161"/>
      <c r="G126" s="161"/>
      <c r="H126" s="161"/>
      <c r="I126" s="161"/>
      <c r="J126" s="161"/>
      <c r="M126" s="99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</row>
    <row r="127" ht="15.75" customHeight="1">
      <c r="A127" s="161"/>
      <c r="B127" s="161"/>
      <c r="E127" s="161"/>
      <c r="F127" s="161"/>
      <c r="G127" s="161"/>
      <c r="H127" s="161"/>
      <c r="I127" s="161"/>
      <c r="J127" s="161"/>
      <c r="M127" s="99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</row>
    <row r="128" ht="15.75" customHeight="1">
      <c r="A128" s="161"/>
      <c r="B128" s="161"/>
      <c r="E128" s="161"/>
      <c r="F128" s="161"/>
      <c r="G128" s="161"/>
      <c r="H128" s="161"/>
      <c r="I128" s="161"/>
      <c r="J128" s="161"/>
      <c r="M128" s="99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</row>
    <row r="129" ht="15.75" customHeight="1">
      <c r="A129" s="161"/>
      <c r="B129" s="161"/>
      <c r="E129" s="161"/>
      <c r="F129" s="161"/>
      <c r="G129" s="161"/>
      <c r="H129" s="161"/>
      <c r="I129" s="161"/>
      <c r="J129" s="161"/>
      <c r="M129" s="99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</row>
    <row r="130" ht="15.75" customHeight="1">
      <c r="A130" s="161"/>
      <c r="B130" s="161"/>
      <c r="E130" s="161"/>
      <c r="F130" s="161"/>
      <c r="G130" s="161"/>
      <c r="H130" s="161"/>
      <c r="I130" s="161"/>
      <c r="J130" s="161"/>
      <c r="M130" s="99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</row>
    <row r="131" ht="15.75" customHeight="1">
      <c r="A131" s="161"/>
      <c r="B131" s="161"/>
      <c r="E131" s="161"/>
      <c r="F131" s="161"/>
      <c r="G131" s="161"/>
      <c r="H131" s="161"/>
      <c r="I131" s="161"/>
      <c r="J131" s="161"/>
      <c r="M131" s="99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</row>
    <row r="132" ht="15.75" customHeight="1">
      <c r="A132" s="161"/>
      <c r="B132" s="161"/>
      <c r="E132" s="161"/>
      <c r="F132" s="161"/>
      <c r="G132" s="161"/>
      <c r="H132" s="161"/>
      <c r="I132" s="161"/>
      <c r="J132" s="161"/>
      <c r="M132" s="99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</row>
    <row r="133" ht="15.75" customHeight="1">
      <c r="A133" s="161"/>
      <c r="B133" s="161"/>
      <c r="E133" s="161"/>
      <c r="F133" s="161"/>
      <c r="G133" s="161"/>
      <c r="H133" s="161"/>
      <c r="I133" s="161"/>
      <c r="J133" s="161"/>
      <c r="M133" s="99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</row>
    <row r="134" ht="15.75" customHeight="1">
      <c r="A134" s="161"/>
      <c r="B134" s="161"/>
      <c r="E134" s="161"/>
      <c r="F134" s="161"/>
      <c r="G134" s="161"/>
      <c r="H134" s="161"/>
      <c r="I134" s="161"/>
      <c r="J134" s="161"/>
      <c r="M134" s="99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</row>
    <row r="135" ht="15.75" customHeight="1">
      <c r="A135" s="161"/>
      <c r="B135" s="161"/>
      <c r="E135" s="161"/>
      <c r="F135" s="161"/>
      <c r="G135" s="161"/>
      <c r="H135" s="161"/>
      <c r="I135" s="161"/>
      <c r="J135" s="161"/>
      <c r="M135" s="99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</row>
    <row r="136" ht="15.75" customHeight="1">
      <c r="A136" s="161"/>
      <c r="B136" s="161"/>
      <c r="E136" s="161"/>
      <c r="F136" s="161"/>
      <c r="G136" s="161"/>
      <c r="H136" s="161"/>
      <c r="I136" s="161"/>
      <c r="J136" s="161"/>
      <c r="M136" s="99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</row>
    <row r="137" ht="15.75" customHeight="1">
      <c r="A137" s="161"/>
      <c r="B137" s="161"/>
      <c r="E137" s="161"/>
      <c r="F137" s="161"/>
      <c r="G137" s="161"/>
      <c r="H137" s="161"/>
      <c r="I137" s="161"/>
      <c r="J137" s="161"/>
      <c r="M137" s="99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</row>
    <row r="138" ht="15.75" customHeight="1">
      <c r="A138" s="161"/>
      <c r="B138" s="161"/>
      <c r="E138" s="161"/>
      <c r="F138" s="161"/>
      <c r="G138" s="161"/>
      <c r="H138" s="161"/>
      <c r="I138" s="161"/>
      <c r="J138" s="161"/>
      <c r="M138" s="99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</row>
    <row r="139" ht="15.75" customHeight="1">
      <c r="A139" s="161"/>
      <c r="B139" s="161"/>
      <c r="E139" s="161"/>
      <c r="F139" s="161"/>
      <c r="G139" s="161"/>
      <c r="H139" s="161"/>
      <c r="I139" s="161"/>
      <c r="J139" s="161"/>
      <c r="M139" s="99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</row>
    <row r="140" ht="15.75" customHeight="1">
      <c r="A140" s="161"/>
      <c r="B140" s="161"/>
      <c r="E140" s="161"/>
      <c r="F140" s="161"/>
      <c r="G140" s="161"/>
      <c r="H140" s="161"/>
      <c r="I140" s="161"/>
      <c r="J140" s="161"/>
      <c r="M140" s="99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</row>
    <row r="141" ht="15.75" customHeight="1">
      <c r="A141" s="161"/>
      <c r="B141" s="161"/>
      <c r="E141" s="161"/>
      <c r="F141" s="161"/>
      <c r="G141" s="161"/>
      <c r="H141" s="161"/>
      <c r="I141" s="161"/>
      <c r="J141" s="161"/>
      <c r="M141" s="99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</row>
    <row r="142" ht="15.75" customHeight="1">
      <c r="A142" s="161"/>
      <c r="B142" s="161"/>
      <c r="E142" s="161"/>
      <c r="F142" s="161"/>
      <c r="G142" s="161"/>
      <c r="H142" s="161"/>
      <c r="I142" s="161"/>
      <c r="J142" s="161"/>
      <c r="M142" s="99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</row>
    <row r="143" ht="15.75" customHeight="1">
      <c r="A143" s="161"/>
      <c r="B143" s="161"/>
      <c r="E143" s="161"/>
      <c r="F143" s="161"/>
      <c r="G143" s="161"/>
      <c r="H143" s="161"/>
      <c r="I143" s="161"/>
      <c r="J143" s="161"/>
      <c r="M143" s="99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</row>
    <row r="144" ht="15.75" customHeight="1">
      <c r="A144" s="161"/>
      <c r="B144" s="161"/>
      <c r="E144" s="161"/>
      <c r="F144" s="161"/>
      <c r="G144" s="161"/>
      <c r="H144" s="161"/>
      <c r="I144" s="161"/>
      <c r="J144" s="161"/>
      <c r="M144" s="99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</row>
    <row r="145" ht="15.75" customHeight="1">
      <c r="A145" s="161"/>
      <c r="B145" s="161"/>
      <c r="E145" s="161"/>
      <c r="F145" s="161"/>
      <c r="G145" s="161"/>
      <c r="H145" s="161"/>
      <c r="I145" s="161"/>
      <c r="J145" s="161"/>
      <c r="M145" s="99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</row>
    <row r="146" ht="15.75" customHeight="1">
      <c r="A146" s="161"/>
      <c r="B146" s="161"/>
      <c r="E146" s="161"/>
      <c r="F146" s="161"/>
      <c r="G146" s="161"/>
      <c r="H146" s="161"/>
      <c r="I146" s="161"/>
      <c r="J146" s="161"/>
      <c r="M146" s="99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</row>
    <row r="147" ht="15.75" customHeight="1">
      <c r="A147" s="161"/>
      <c r="B147" s="161"/>
      <c r="E147" s="161"/>
      <c r="F147" s="161"/>
      <c r="G147" s="161"/>
      <c r="H147" s="161"/>
      <c r="I147" s="161"/>
      <c r="J147" s="161"/>
      <c r="M147" s="99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</row>
    <row r="148" ht="15.75" customHeight="1">
      <c r="A148" s="161"/>
      <c r="B148" s="161"/>
      <c r="E148" s="161"/>
      <c r="F148" s="161"/>
      <c r="G148" s="161"/>
      <c r="H148" s="161"/>
      <c r="I148" s="161"/>
      <c r="J148" s="161"/>
      <c r="M148" s="99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</row>
    <row r="149" ht="15.75" customHeight="1">
      <c r="A149" s="161"/>
      <c r="B149" s="161"/>
      <c r="E149" s="161"/>
      <c r="F149" s="161"/>
      <c r="G149" s="161"/>
      <c r="H149" s="161"/>
      <c r="I149" s="161"/>
      <c r="J149" s="161"/>
      <c r="M149" s="99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</row>
    <row r="150" ht="15.75" customHeight="1">
      <c r="A150" s="161"/>
      <c r="B150" s="161"/>
      <c r="E150" s="161"/>
      <c r="F150" s="161"/>
      <c r="G150" s="161"/>
      <c r="H150" s="161"/>
      <c r="I150" s="161"/>
      <c r="J150" s="161"/>
      <c r="M150" s="99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</row>
    <row r="151" ht="15.75" customHeight="1">
      <c r="A151" s="161"/>
      <c r="B151" s="161"/>
      <c r="E151" s="161"/>
      <c r="F151" s="161"/>
      <c r="G151" s="161"/>
      <c r="H151" s="161"/>
      <c r="I151" s="161"/>
      <c r="J151" s="161"/>
      <c r="M151" s="99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</row>
    <row r="152" ht="15.75" customHeight="1">
      <c r="A152" s="161"/>
      <c r="B152" s="161"/>
      <c r="E152" s="161"/>
      <c r="F152" s="161"/>
      <c r="G152" s="161"/>
      <c r="H152" s="161"/>
      <c r="I152" s="161"/>
      <c r="J152" s="161"/>
      <c r="M152" s="99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</row>
    <row r="153" ht="15.75" customHeight="1">
      <c r="A153" s="161"/>
      <c r="B153" s="161"/>
      <c r="E153" s="161"/>
      <c r="F153" s="161"/>
      <c r="G153" s="161"/>
      <c r="H153" s="161"/>
      <c r="I153" s="161"/>
      <c r="J153" s="161"/>
      <c r="M153" s="99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</row>
    <row r="154" ht="15.75" customHeight="1">
      <c r="A154" s="161"/>
      <c r="B154" s="161"/>
      <c r="E154" s="161"/>
      <c r="F154" s="161"/>
      <c r="G154" s="161"/>
      <c r="H154" s="161"/>
      <c r="I154" s="161"/>
      <c r="J154" s="161"/>
      <c r="M154" s="99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</row>
    <row r="155" ht="15.75" customHeight="1">
      <c r="A155" s="161"/>
      <c r="B155" s="161"/>
      <c r="E155" s="161"/>
      <c r="F155" s="161"/>
      <c r="G155" s="161"/>
      <c r="H155" s="161"/>
      <c r="I155" s="161"/>
      <c r="J155" s="161"/>
      <c r="M155" s="99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</row>
    <row r="156" ht="15.75" customHeight="1">
      <c r="A156" s="161"/>
      <c r="B156" s="161"/>
      <c r="E156" s="161"/>
      <c r="F156" s="161"/>
      <c r="G156" s="161"/>
      <c r="H156" s="161"/>
      <c r="I156" s="161"/>
      <c r="J156" s="161"/>
      <c r="M156" s="99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</row>
    <row r="157" ht="15.75" customHeight="1">
      <c r="A157" s="161"/>
      <c r="B157" s="161"/>
      <c r="E157" s="161"/>
      <c r="F157" s="161"/>
      <c r="G157" s="161"/>
      <c r="H157" s="161"/>
      <c r="I157" s="161"/>
      <c r="J157" s="161"/>
      <c r="M157" s="99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</row>
    <row r="158" ht="15.75" customHeight="1">
      <c r="A158" s="161"/>
      <c r="B158" s="161"/>
      <c r="E158" s="161"/>
      <c r="F158" s="161"/>
      <c r="G158" s="161"/>
      <c r="H158" s="161"/>
      <c r="I158" s="161"/>
      <c r="J158" s="161"/>
      <c r="M158" s="99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</row>
    <row r="159" ht="15.75" customHeight="1">
      <c r="A159" s="161"/>
      <c r="B159" s="161"/>
      <c r="E159" s="161"/>
      <c r="F159" s="161"/>
      <c r="G159" s="161"/>
      <c r="H159" s="161"/>
      <c r="I159" s="161"/>
      <c r="J159" s="161"/>
      <c r="M159" s="99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</row>
    <row r="160" ht="15.75" customHeight="1">
      <c r="A160" s="161"/>
      <c r="B160" s="161"/>
      <c r="E160" s="161"/>
      <c r="F160" s="161"/>
      <c r="G160" s="161"/>
      <c r="H160" s="161"/>
      <c r="I160" s="161"/>
      <c r="J160" s="161"/>
      <c r="M160" s="99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</row>
    <row r="161" ht="15.75" customHeight="1">
      <c r="A161" s="161"/>
      <c r="B161" s="161"/>
      <c r="E161" s="161"/>
      <c r="F161" s="161"/>
      <c r="G161" s="161"/>
      <c r="H161" s="161"/>
      <c r="I161" s="161"/>
      <c r="J161" s="161"/>
      <c r="M161" s="99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</row>
    <row r="162" ht="15.75" customHeight="1">
      <c r="A162" s="161"/>
      <c r="B162" s="161"/>
      <c r="E162" s="161"/>
      <c r="F162" s="161"/>
      <c r="G162" s="161"/>
      <c r="H162" s="161"/>
      <c r="I162" s="161"/>
      <c r="J162" s="161"/>
      <c r="M162" s="99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</row>
    <row r="163" ht="15.75" customHeight="1">
      <c r="A163" s="161"/>
      <c r="B163" s="161"/>
      <c r="E163" s="161"/>
      <c r="F163" s="161"/>
      <c r="G163" s="161"/>
      <c r="H163" s="161"/>
      <c r="I163" s="161"/>
      <c r="J163" s="161"/>
      <c r="M163" s="99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</row>
    <row r="164" ht="15.75" customHeight="1">
      <c r="A164" s="161"/>
      <c r="B164" s="161"/>
      <c r="E164" s="161"/>
      <c r="F164" s="161"/>
      <c r="G164" s="161"/>
      <c r="H164" s="161"/>
      <c r="I164" s="161"/>
      <c r="J164" s="161"/>
      <c r="M164" s="99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</row>
    <row r="165" ht="15.75" customHeight="1">
      <c r="A165" s="161"/>
      <c r="B165" s="161"/>
      <c r="E165" s="161"/>
      <c r="F165" s="161"/>
      <c r="G165" s="161"/>
      <c r="H165" s="161"/>
      <c r="I165" s="161"/>
      <c r="J165" s="161"/>
      <c r="M165" s="99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</row>
    <row r="166" ht="15.75" customHeight="1">
      <c r="A166" s="161"/>
      <c r="B166" s="161"/>
      <c r="E166" s="161"/>
      <c r="F166" s="161"/>
      <c r="G166" s="161"/>
      <c r="H166" s="161"/>
      <c r="I166" s="161"/>
      <c r="J166" s="161"/>
      <c r="M166" s="99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</row>
    <row r="167" ht="15.75" customHeight="1">
      <c r="A167" s="161"/>
      <c r="B167" s="161"/>
      <c r="E167" s="161"/>
      <c r="F167" s="161"/>
      <c r="G167" s="161"/>
      <c r="H167" s="161"/>
      <c r="I167" s="161"/>
      <c r="J167" s="161"/>
      <c r="M167" s="99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</row>
    <row r="168" ht="15.75" customHeight="1">
      <c r="A168" s="161"/>
      <c r="B168" s="161"/>
      <c r="E168" s="161"/>
      <c r="F168" s="161"/>
      <c r="G168" s="161"/>
      <c r="H168" s="161"/>
      <c r="I168" s="161"/>
      <c r="J168" s="161"/>
      <c r="M168" s="99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</row>
    <row r="169" ht="15.75" customHeight="1">
      <c r="A169" s="161"/>
      <c r="B169" s="161"/>
      <c r="E169" s="161"/>
      <c r="F169" s="161"/>
      <c r="G169" s="161"/>
      <c r="H169" s="161"/>
      <c r="I169" s="161"/>
      <c r="J169" s="161"/>
      <c r="M169" s="99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</row>
    <row r="170" ht="15.75" customHeight="1">
      <c r="A170" s="161"/>
      <c r="B170" s="161"/>
      <c r="E170" s="161"/>
      <c r="F170" s="161"/>
      <c r="G170" s="161"/>
      <c r="H170" s="161"/>
      <c r="I170" s="161"/>
      <c r="J170" s="161"/>
      <c r="M170" s="99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</row>
    <row r="171" ht="15.75" customHeight="1">
      <c r="A171" s="161"/>
      <c r="B171" s="161"/>
      <c r="E171" s="161"/>
      <c r="F171" s="161"/>
      <c r="G171" s="161"/>
      <c r="H171" s="161"/>
      <c r="I171" s="161"/>
      <c r="J171" s="161"/>
      <c r="M171" s="99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</row>
    <row r="172" ht="15.75" customHeight="1">
      <c r="A172" s="161"/>
      <c r="B172" s="161"/>
      <c r="E172" s="161"/>
      <c r="F172" s="161"/>
      <c r="G172" s="161"/>
      <c r="H172" s="161"/>
      <c r="I172" s="161"/>
      <c r="J172" s="161"/>
      <c r="M172" s="99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</row>
    <row r="173" ht="15.75" customHeight="1">
      <c r="A173" s="161"/>
      <c r="B173" s="161"/>
      <c r="E173" s="161"/>
      <c r="F173" s="161"/>
      <c r="G173" s="161"/>
      <c r="H173" s="161"/>
      <c r="I173" s="161"/>
      <c r="J173" s="161"/>
      <c r="M173" s="99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</row>
    <row r="174" ht="15.75" customHeight="1">
      <c r="A174" s="161"/>
      <c r="B174" s="161"/>
      <c r="E174" s="161"/>
      <c r="F174" s="161"/>
      <c r="G174" s="161"/>
      <c r="H174" s="161"/>
      <c r="I174" s="161"/>
      <c r="J174" s="161"/>
      <c r="M174" s="99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</row>
    <row r="175" ht="15.75" customHeight="1">
      <c r="A175" s="161"/>
      <c r="B175" s="161"/>
      <c r="E175" s="161"/>
      <c r="F175" s="161"/>
      <c r="G175" s="161"/>
      <c r="H175" s="161"/>
      <c r="I175" s="161"/>
      <c r="J175" s="161"/>
      <c r="M175" s="99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</row>
    <row r="176" ht="15.75" customHeight="1">
      <c r="A176" s="161"/>
      <c r="B176" s="161"/>
      <c r="E176" s="161"/>
      <c r="F176" s="161"/>
      <c r="G176" s="161"/>
      <c r="H176" s="161"/>
      <c r="I176" s="161"/>
      <c r="J176" s="161"/>
      <c r="M176" s="99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</row>
    <row r="177" ht="15.75" customHeight="1">
      <c r="A177" s="161"/>
      <c r="B177" s="161"/>
      <c r="E177" s="161"/>
      <c r="F177" s="161"/>
      <c r="G177" s="161"/>
      <c r="H177" s="161"/>
      <c r="I177" s="161"/>
      <c r="J177" s="161"/>
      <c r="M177" s="99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</row>
    <row r="178" ht="15.75" customHeight="1">
      <c r="A178" s="161"/>
      <c r="B178" s="161"/>
      <c r="E178" s="161"/>
      <c r="F178" s="161"/>
      <c r="G178" s="161"/>
      <c r="H178" s="161"/>
      <c r="I178" s="161"/>
      <c r="J178" s="161"/>
      <c r="M178" s="99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</row>
    <row r="179" ht="15.75" customHeight="1">
      <c r="A179" s="161"/>
      <c r="B179" s="161"/>
      <c r="E179" s="161"/>
      <c r="F179" s="161"/>
      <c r="G179" s="161"/>
      <c r="H179" s="161"/>
      <c r="I179" s="161"/>
      <c r="J179" s="161"/>
      <c r="M179" s="99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</row>
    <row r="180" ht="15.75" customHeight="1">
      <c r="A180" s="161"/>
      <c r="B180" s="161"/>
      <c r="E180" s="161"/>
      <c r="F180" s="161"/>
      <c r="G180" s="161"/>
      <c r="H180" s="161"/>
      <c r="I180" s="161"/>
      <c r="J180" s="161"/>
      <c r="M180" s="99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</row>
    <row r="181" ht="15.75" customHeight="1">
      <c r="A181" s="161"/>
      <c r="B181" s="161"/>
      <c r="E181" s="161"/>
      <c r="F181" s="161"/>
      <c r="G181" s="161"/>
      <c r="H181" s="161"/>
      <c r="I181" s="161"/>
      <c r="J181" s="161"/>
      <c r="M181" s="99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</row>
    <row r="182" ht="15.75" customHeight="1">
      <c r="A182" s="161"/>
      <c r="B182" s="161"/>
      <c r="E182" s="161"/>
      <c r="F182" s="161"/>
      <c r="G182" s="161"/>
      <c r="H182" s="161"/>
      <c r="I182" s="161"/>
      <c r="J182" s="161"/>
      <c r="M182" s="99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</row>
    <row r="183" ht="15.75" customHeight="1">
      <c r="A183" s="161"/>
      <c r="B183" s="161"/>
      <c r="E183" s="161"/>
      <c r="F183" s="161"/>
      <c r="G183" s="161"/>
      <c r="H183" s="161"/>
      <c r="I183" s="161"/>
      <c r="J183" s="161"/>
      <c r="M183" s="99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</row>
    <row r="184" ht="15.75" customHeight="1">
      <c r="A184" s="161"/>
      <c r="B184" s="161"/>
      <c r="E184" s="161"/>
      <c r="F184" s="161"/>
      <c r="G184" s="161"/>
      <c r="H184" s="161"/>
      <c r="I184" s="161"/>
      <c r="J184" s="161"/>
      <c r="M184" s="99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</row>
    <row r="185" ht="15.75" customHeight="1">
      <c r="A185" s="161"/>
      <c r="B185" s="161"/>
      <c r="E185" s="161"/>
      <c r="F185" s="161"/>
      <c r="G185" s="161"/>
      <c r="H185" s="161"/>
      <c r="I185" s="161"/>
      <c r="J185" s="161"/>
      <c r="M185" s="99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</row>
    <row r="186" ht="15.75" customHeight="1">
      <c r="A186" s="161"/>
      <c r="B186" s="161"/>
      <c r="E186" s="161"/>
      <c r="F186" s="161"/>
      <c r="G186" s="161"/>
      <c r="H186" s="161"/>
      <c r="I186" s="161"/>
      <c r="J186" s="161"/>
      <c r="M186" s="99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</row>
    <row r="187" ht="15.75" customHeight="1">
      <c r="A187" s="161"/>
      <c r="B187" s="161"/>
      <c r="E187" s="161"/>
      <c r="F187" s="161"/>
      <c r="G187" s="161"/>
      <c r="H187" s="161"/>
      <c r="I187" s="161"/>
      <c r="J187" s="161"/>
      <c r="M187" s="99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</row>
    <row r="188" ht="15.75" customHeight="1">
      <c r="A188" s="161"/>
      <c r="B188" s="161"/>
      <c r="E188" s="161"/>
      <c r="F188" s="161"/>
      <c r="G188" s="161"/>
      <c r="H188" s="161"/>
      <c r="I188" s="161"/>
      <c r="J188" s="161"/>
      <c r="M188" s="99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</row>
    <row r="189" ht="15.75" customHeight="1">
      <c r="A189" s="161"/>
      <c r="B189" s="161"/>
      <c r="E189" s="161"/>
      <c r="F189" s="161"/>
      <c r="G189" s="161"/>
      <c r="H189" s="161"/>
      <c r="I189" s="161"/>
      <c r="J189" s="161"/>
      <c r="M189" s="99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</row>
    <row r="190" ht="15.75" customHeight="1">
      <c r="A190" s="161"/>
      <c r="B190" s="161"/>
      <c r="E190" s="161"/>
      <c r="F190" s="161"/>
      <c r="G190" s="161"/>
      <c r="H190" s="161"/>
      <c r="I190" s="161"/>
      <c r="J190" s="161"/>
      <c r="M190" s="99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</row>
    <row r="191" ht="15.75" customHeight="1">
      <c r="A191" s="161"/>
      <c r="B191" s="161"/>
      <c r="E191" s="161"/>
      <c r="F191" s="161"/>
      <c r="G191" s="161"/>
      <c r="H191" s="161"/>
      <c r="I191" s="161"/>
      <c r="J191" s="161"/>
      <c r="M191" s="99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</row>
    <row r="192" ht="15.75" customHeight="1">
      <c r="A192" s="161"/>
      <c r="B192" s="161"/>
      <c r="E192" s="161"/>
      <c r="F192" s="161"/>
      <c r="G192" s="161"/>
      <c r="H192" s="161"/>
      <c r="I192" s="161"/>
      <c r="J192" s="161"/>
      <c r="M192" s="99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</row>
    <row r="193" ht="15.75" customHeight="1">
      <c r="A193" s="161"/>
      <c r="B193" s="161"/>
      <c r="E193" s="161"/>
      <c r="F193" s="161"/>
      <c r="G193" s="161"/>
      <c r="H193" s="161"/>
      <c r="I193" s="161"/>
      <c r="J193" s="161"/>
      <c r="M193" s="99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</row>
    <row r="194" ht="15.75" customHeight="1">
      <c r="A194" s="161"/>
      <c r="B194" s="161"/>
      <c r="E194" s="161"/>
      <c r="F194" s="161"/>
      <c r="G194" s="161"/>
      <c r="H194" s="161"/>
      <c r="I194" s="161"/>
      <c r="J194" s="161"/>
      <c r="M194" s="99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</row>
    <row r="195" ht="15.75" customHeight="1">
      <c r="A195" s="161"/>
      <c r="B195" s="161"/>
      <c r="E195" s="161"/>
      <c r="F195" s="161"/>
      <c r="G195" s="161"/>
      <c r="H195" s="161"/>
      <c r="I195" s="161"/>
      <c r="J195" s="161"/>
      <c r="M195" s="99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</row>
    <row r="196" ht="15.75" customHeight="1">
      <c r="A196" s="161"/>
      <c r="B196" s="161"/>
      <c r="E196" s="161"/>
      <c r="F196" s="161"/>
      <c r="G196" s="161"/>
      <c r="H196" s="161"/>
      <c r="I196" s="161"/>
      <c r="J196" s="161"/>
      <c r="M196" s="99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</row>
    <row r="197" ht="15.75" customHeight="1">
      <c r="A197" s="161"/>
      <c r="B197" s="161"/>
      <c r="E197" s="161"/>
      <c r="F197" s="161"/>
      <c r="G197" s="161"/>
      <c r="H197" s="161"/>
      <c r="I197" s="161"/>
      <c r="J197" s="161"/>
      <c r="M197" s="99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</row>
    <row r="198" ht="15.75" customHeight="1">
      <c r="A198" s="161"/>
      <c r="B198" s="161"/>
      <c r="E198" s="161"/>
      <c r="F198" s="161"/>
      <c r="G198" s="161"/>
      <c r="H198" s="161"/>
      <c r="I198" s="161"/>
      <c r="J198" s="161"/>
      <c r="M198" s="99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</row>
    <row r="199" ht="15.75" customHeight="1">
      <c r="A199" s="161"/>
      <c r="B199" s="161"/>
      <c r="E199" s="161"/>
      <c r="F199" s="161"/>
      <c r="G199" s="161"/>
      <c r="H199" s="161"/>
      <c r="I199" s="161"/>
      <c r="J199" s="161"/>
      <c r="M199" s="99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</row>
    <row r="200" ht="15.75" customHeight="1">
      <c r="A200" s="161"/>
      <c r="B200" s="161"/>
      <c r="E200" s="161"/>
      <c r="F200" s="161"/>
      <c r="G200" s="161"/>
      <c r="H200" s="161"/>
      <c r="I200" s="161"/>
      <c r="J200" s="161"/>
      <c r="M200" s="99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</row>
    <row r="201" ht="15.75" customHeight="1">
      <c r="A201" s="161"/>
      <c r="B201" s="161"/>
      <c r="E201" s="161"/>
      <c r="F201" s="161"/>
      <c r="G201" s="161"/>
      <c r="H201" s="161"/>
      <c r="I201" s="161"/>
      <c r="J201" s="161"/>
      <c r="M201" s="99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</row>
    <row r="202" ht="15.75" customHeight="1">
      <c r="A202" s="161"/>
      <c r="B202" s="161"/>
      <c r="E202" s="161"/>
      <c r="F202" s="161"/>
      <c r="G202" s="161"/>
      <c r="H202" s="161"/>
      <c r="I202" s="161"/>
      <c r="J202" s="161"/>
      <c r="M202" s="99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</row>
    <row r="203" ht="15.75" customHeight="1">
      <c r="A203" s="161"/>
      <c r="B203" s="161"/>
      <c r="E203" s="161"/>
      <c r="F203" s="161"/>
      <c r="G203" s="161"/>
      <c r="H203" s="161"/>
      <c r="I203" s="161"/>
      <c r="J203" s="161"/>
      <c r="M203" s="99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</row>
    <row r="204" ht="15.75" customHeight="1">
      <c r="A204" s="161"/>
      <c r="B204" s="161"/>
      <c r="E204" s="161"/>
      <c r="F204" s="161"/>
      <c r="G204" s="161"/>
      <c r="H204" s="161"/>
      <c r="I204" s="161"/>
      <c r="J204" s="161"/>
      <c r="M204" s="99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</row>
    <row r="205" ht="15.75" customHeight="1">
      <c r="A205" s="161"/>
      <c r="B205" s="161"/>
      <c r="E205" s="161"/>
      <c r="F205" s="161"/>
      <c r="G205" s="161"/>
      <c r="H205" s="161"/>
      <c r="I205" s="161"/>
      <c r="J205" s="161"/>
      <c r="M205" s="99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</row>
    <row r="206" ht="15.75" customHeight="1">
      <c r="A206" s="161"/>
      <c r="B206" s="161"/>
      <c r="E206" s="161"/>
      <c r="F206" s="161"/>
      <c r="G206" s="161"/>
      <c r="H206" s="161"/>
      <c r="I206" s="161"/>
      <c r="J206" s="161"/>
      <c r="M206" s="99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</row>
    <row r="207" ht="15.75" customHeight="1">
      <c r="A207" s="161"/>
      <c r="B207" s="161"/>
      <c r="E207" s="161"/>
      <c r="F207" s="161"/>
      <c r="G207" s="161"/>
      <c r="H207" s="161"/>
      <c r="I207" s="161"/>
      <c r="J207" s="161"/>
      <c r="M207" s="99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</row>
    <row r="208" ht="15.75" customHeight="1">
      <c r="A208" s="161"/>
      <c r="B208" s="161"/>
      <c r="E208" s="161"/>
      <c r="F208" s="161"/>
      <c r="G208" s="161"/>
      <c r="H208" s="161"/>
      <c r="I208" s="161"/>
      <c r="J208" s="161"/>
      <c r="M208" s="99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</row>
    <row r="209" ht="15.75" customHeight="1">
      <c r="A209" s="161"/>
      <c r="B209" s="161"/>
      <c r="E209" s="161"/>
      <c r="F209" s="161"/>
      <c r="G209" s="161"/>
      <c r="H209" s="161"/>
      <c r="I209" s="161"/>
      <c r="J209" s="161"/>
      <c r="M209" s="99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</row>
    <row r="210" ht="15.75" customHeight="1">
      <c r="A210" s="161"/>
      <c r="B210" s="161"/>
      <c r="E210" s="161"/>
      <c r="F210" s="161"/>
      <c r="G210" s="161"/>
      <c r="H210" s="161"/>
      <c r="I210" s="161"/>
      <c r="J210" s="161"/>
      <c r="M210" s="99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</row>
    <row r="211" ht="15.75" customHeight="1">
      <c r="A211" s="161"/>
      <c r="B211" s="161"/>
      <c r="E211" s="161"/>
      <c r="F211" s="161"/>
      <c r="G211" s="161"/>
      <c r="H211" s="161"/>
      <c r="I211" s="161"/>
      <c r="J211" s="161"/>
      <c r="M211" s="99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</row>
    <row r="212" ht="15.75" customHeight="1">
      <c r="A212" s="161"/>
      <c r="B212" s="161"/>
      <c r="E212" s="161"/>
      <c r="F212" s="161"/>
      <c r="G212" s="161"/>
      <c r="H212" s="161"/>
      <c r="I212" s="161"/>
      <c r="J212" s="161"/>
      <c r="M212" s="99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</row>
    <row r="213" ht="15.75" customHeight="1">
      <c r="A213" s="161"/>
      <c r="B213" s="161"/>
      <c r="E213" s="161"/>
      <c r="F213" s="161"/>
      <c r="G213" s="161"/>
      <c r="H213" s="161"/>
      <c r="I213" s="161"/>
      <c r="J213" s="161"/>
      <c r="M213" s="99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</row>
    <row r="214" ht="15.75" customHeight="1">
      <c r="A214" s="161"/>
      <c r="B214" s="161"/>
      <c r="E214" s="161"/>
      <c r="F214" s="161"/>
      <c r="G214" s="161"/>
      <c r="H214" s="161"/>
      <c r="I214" s="161"/>
      <c r="J214" s="161"/>
      <c r="M214" s="99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</row>
    <row r="215" ht="15.75" customHeight="1">
      <c r="A215" s="161"/>
      <c r="B215" s="161"/>
      <c r="E215" s="161"/>
      <c r="F215" s="161"/>
      <c r="G215" s="161"/>
      <c r="H215" s="161"/>
      <c r="I215" s="161"/>
      <c r="J215" s="161"/>
      <c r="M215" s="99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</row>
    <row r="216" ht="15.75" customHeight="1">
      <c r="A216" s="161"/>
      <c r="B216" s="161"/>
      <c r="E216" s="161"/>
      <c r="F216" s="161"/>
      <c r="G216" s="161"/>
      <c r="H216" s="161"/>
      <c r="I216" s="161"/>
      <c r="J216" s="161"/>
      <c r="M216" s="99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</row>
    <row r="217" ht="15.75" customHeight="1">
      <c r="A217" s="161"/>
      <c r="B217" s="161"/>
      <c r="E217" s="161"/>
      <c r="F217" s="161"/>
      <c r="G217" s="161"/>
      <c r="H217" s="161"/>
      <c r="I217" s="161"/>
      <c r="J217" s="161"/>
      <c r="M217" s="99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</row>
    <row r="218" ht="15.75" customHeight="1">
      <c r="A218" s="161"/>
      <c r="B218" s="161"/>
      <c r="E218" s="161"/>
      <c r="F218" s="161"/>
      <c r="G218" s="161"/>
      <c r="H218" s="161"/>
      <c r="I218" s="161"/>
      <c r="J218" s="161"/>
      <c r="M218" s="99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</row>
    <row r="219" ht="15.75" customHeight="1">
      <c r="A219" s="161"/>
      <c r="B219" s="161"/>
      <c r="E219" s="161"/>
      <c r="F219" s="161"/>
      <c r="G219" s="161"/>
      <c r="H219" s="161"/>
      <c r="I219" s="161"/>
      <c r="J219" s="161"/>
      <c r="M219" s="99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</row>
    <row r="220" ht="15.75" customHeight="1">
      <c r="A220" s="161"/>
      <c r="B220" s="161"/>
      <c r="E220" s="161"/>
      <c r="F220" s="161"/>
      <c r="G220" s="161"/>
      <c r="H220" s="161"/>
      <c r="I220" s="161"/>
      <c r="J220" s="161"/>
      <c r="M220" s="99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</row>
    <row r="221" ht="15.75" customHeight="1">
      <c r="A221" s="161"/>
      <c r="B221" s="161"/>
      <c r="E221" s="161"/>
      <c r="F221" s="161"/>
      <c r="G221" s="161"/>
      <c r="H221" s="161"/>
      <c r="I221" s="161"/>
      <c r="J221" s="161"/>
      <c r="M221" s="99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</row>
    <row r="222" ht="15.75" customHeight="1">
      <c r="A222" s="161"/>
      <c r="B222" s="161"/>
      <c r="E222" s="161"/>
      <c r="F222" s="161"/>
      <c r="G222" s="161"/>
      <c r="H222" s="161"/>
      <c r="I222" s="161"/>
      <c r="J222" s="161"/>
      <c r="M222" s="99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</row>
    <row r="223" ht="15.75" customHeight="1">
      <c r="A223" s="161"/>
      <c r="B223" s="161"/>
      <c r="E223" s="161"/>
      <c r="F223" s="161"/>
      <c r="G223" s="161"/>
      <c r="H223" s="161"/>
      <c r="I223" s="161"/>
      <c r="J223" s="161"/>
      <c r="M223" s="99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</row>
    <row r="224" ht="15.75" customHeight="1">
      <c r="A224" s="161"/>
      <c r="B224" s="161"/>
      <c r="E224" s="161"/>
      <c r="F224" s="161"/>
      <c r="G224" s="161"/>
      <c r="H224" s="161"/>
      <c r="I224" s="161"/>
      <c r="J224" s="161"/>
      <c r="M224" s="99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</row>
    <row r="225" ht="15.75" customHeight="1">
      <c r="A225" s="161"/>
      <c r="B225" s="161"/>
      <c r="E225" s="161"/>
      <c r="F225" s="161"/>
      <c r="G225" s="161"/>
      <c r="H225" s="161"/>
      <c r="I225" s="161"/>
      <c r="J225" s="161"/>
      <c r="M225" s="99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</row>
    <row r="226" ht="15.75" customHeight="1">
      <c r="A226" s="161"/>
      <c r="B226" s="161"/>
      <c r="E226" s="161"/>
      <c r="F226" s="161"/>
      <c r="G226" s="161"/>
      <c r="H226" s="161"/>
      <c r="I226" s="161"/>
      <c r="J226" s="161"/>
      <c r="M226" s="99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</row>
    <row r="227" ht="15.75" customHeight="1">
      <c r="A227" s="161"/>
      <c r="B227" s="161"/>
      <c r="E227" s="161"/>
      <c r="F227" s="161"/>
      <c r="G227" s="161"/>
      <c r="H227" s="161"/>
      <c r="I227" s="161"/>
      <c r="J227" s="161"/>
      <c r="M227" s="99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</row>
    <row r="228" ht="15.75" customHeight="1">
      <c r="A228" s="161"/>
      <c r="B228" s="161"/>
      <c r="E228" s="161"/>
      <c r="F228" s="161"/>
      <c r="G228" s="161"/>
      <c r="H228" s="161"/>
      <c r="I228" s="161"/>
      <c r="J228" s="161"/>
      <c r="M228" s="99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</row>
    <row r="229" ht="15.75" customHeight="1">
      <c r="A229" s="161"/>
      <c r="B229" s="161"/>
      <c r="E229" s="161"/>
      <c r="F229" s="161"/>
      <c r="G229" s="161"/>
      <c r="H229" s="161"/>
      <c r="I229" s="161"/>
      <c r="J229" s="161"/>
      <c r="M229" s="99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</row>
    <row r="230" ht="15.75" customHeight="1">
      <c r="A230" s="161"/>
      <c r="B230" s="161"/>
      <c r="E230" s="161"/>
      <c r="F230" s="161"/>
      <c r="G230" s="161"/>
      <c r="H230" s="161"/>
      <c r="I230" s="161"/>
      <c r="J230" s="161"/>
      <c r="M230" s="99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</row>
    <row r="231" ht="15.75" customHeight="1">
      <c r="A231" s="161"/>
      <c r="B231" s="161"/>
      <c r="E231" s="161"/>
      <c r="F231" s="161"/>
      <c r="G231" s="161"/>
      <c r="H231" s="161"/>
      <c r="I231" s="161"/>
      <c r="J231" s="161"/>
      <c r="M231" s="99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</row>
    <row r="232" ht="15.75" customHeight="1">
      <c r="A232" s="161"/>
      <c r="B232" s="161"/>
      <c r="E232" s="161"/>
      <c r="F232" s="161"/>
      <c r="G232" s="161"/>
      <c r="H232" s="161"/>
      <c r="I232" s="161"/>
      <c r="J232" s="161"/>
      <c r="M232" s="99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</row>
    <row r="233" ht="15.75" customHeight="1">
      <c r="A233" s="161"/>
      <c r="B233" s="161"/>
      <c r="E233" s="161"/>
      <c r="F233" s="161"/>
      <c r="G233" s="161"/>
      <c r="H233" s="161"/>
      <c r="I233" s="161"/>
      <c r="J233" s="161"/>
      <c r="M233" s="99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</row>
    <row r="234" ht="15.75" customHeight="1">
      <c r="A234" s="161"/>
      <c r="B234" s="161"/>
      <c r="E234" s="161"/>
      <c r="F234" s="161"/>
      <c r="G234" s="161"/>
      <c r="H234" s="161"/>
      <c r="I234" s="161"/>
      <c r="J234" s="161"/>
      <c r="M234" s="99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</row>
    <row r="235" ht="15.75" customHeight="1">
      <c r="A235" s="161"/>
      <c r="B235" s="161"/>
      <c r="E235" s="161"/>
      <c r="F235" s="161"/>
      <c r="G235" s="161"/>
      <c r="H235" s="161"/>
      <c r="I235" s="161"/>
      <c r="J235" s="161"/>
      <c r="M235" s="99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</row>
    <row r="236" ht="15.75" customHeight="1">
      <c r="A236" s="161"/>
      <c r="B236" s="161"/>
      <c r="E236" s="161"/>
      <c r="F236" s="161"/>
      <c r="G236" s="161"/>
      <c r="H236" s="161"/>
      <c r="I236" s="161"/>
      <c r="J236" s="161"/>
      <c r="M236" s="99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</row>
    <row r="237" ht="15.75" customHeight="1">
      <c r="A237" s="161"/>
      <c r="B237" s="161"/>
      <c r="E237" s="161"/>
      <c r="F237" s="161"/>
      <c r="G237" s="161"/>
      <c r="H237" s="161"/>
      <c r="I237" s="161"/>
      <c r="J237" s="161"/>
      <c r="M237" s="99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</row>
    <row r="238" ht="15.75" customHeight="1">
      <c r="A238" s="161"/>
      <c r="B238" s="161"/>
      <c r="E238" s="161"/>
      <c r="F238" s="161"/>
      <c r="G238" s="161"/>
      <c r="H238" s="161"/>
      <c r="I238" s="161"/>
      <c r="J238" s="161"/>
      <c r="M238" s="99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</row>
    <row r="239" ht="15.75" customHeight="1">
      <c r="A239" s="161"/>
      <c r="B239" s="161"/>
      <c r="E239" s="161"/>
      <c r="F239" s="161"/>
      <c r="G239" s="161"/>
      <c r="H239" s="161"/>
      <c r="I239" s="161"/>
      <c r="J239" s="161"/>
      <c r="M239" s="99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</row>
    <row r="240" ht="15.75" customHeight="1">
      <c r="A240" s="161"/>
      <c r="B240" s="161"/>
      <c r="E240" s="161"/>
      <c r="F240" s="161"/>
      <c r="G240" s="161"/>
      <c r="H240" s="161"/>
      <c r="I240" s="161"/>
      <c r="J240" s="161"/>
      <c r="M240" s="99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</row>
    <row r="241" ht="15.75" customHeight="1">
      <c r="A241" s="161"/>
      <c r="B241" s="161"/>
      <c r="E241" s="161"/>
      <c r="F241" s="161"/>
      <c r="G241" s="161"/>
      <c r="H241" s="161"/>
      <c r="I241" s="161"/>
      <c r="J241" s="161"/>
      <c r="M241" s="99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</row>
    <row r="242" ht="15.75" customHeight="1">
      <c r="A242" s="161"/>
      <c r="B242" s="161"/>
      <c r="E242" s="161"/>
      <c r="F242" s="161"/>
      <c r="G242" s="161"/>
      <c r="H242" s="161"/>
      <c r="I242" s="161"/>
      <c r="J242" s="161"/>
      <c r="M242" s="99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</row>
    <row r="243" ht="15.75" customHeight="1">
      <c r="A243" s="161"/>
      <c r="B243" s="161"/>
      <c r="E243" s="161"/>
      <c r="F243" s="161"/>
      <c r="G243" s="161"/>
      <c r="H243" s="161"/>
      <c r="I243" s="161"/>
      <c r="J243" s="161"/>
      <c r="M243" s="99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</row>
    <row r="244" ht="15.75" customHeight="1">
      <c r="A244" s="161"/>
      <c r="B244" s="161"/>
      <c r="E244" s="161"/>
      <c r="F244" s="161"/>
      <c r="G244" s="161"/>
      <c r="H244" s="161"/>
      <c r="I244" s="161"/>
      <c r="J244" s="161"/>
      <c r="M244" s="99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</row>
    <row r="245" ht="15.75" customHeight="1">
      <c r="A245" s="161"/>
      <c r="B245" s="161"/>
      <c r="E245" s="161"/>
      <c r="F245" s="161"/>
      <c r="G245" s="161"/>
      <c r="H245" s="161"/>
      <c r="I245" s="161"/>
      <c r="J245" s="161"/>
      <c r="M245" s="99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</row>
    <row r="246" ht="15.75" customHeight="1">
      <c r="A246" s="161"/>
      <c r="B246" s="161"/>
      <c r="E246" s="161"/>
      <c r="F246" s="161"/>
      <c r="G246" s="161"/>
      <c r="H246" s="161"/>
      <c r="I246" s="161"/>
      <c r="J246" s="161"/>
      <c r="M246" s="99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</row>
    <row r="247" ht="15.75" customHeight="1">
      <c r="A247" s="161"/>
      <c r="B247" s="161"/>
      <c r="E247" s="161"/>
      <c r="F247" s="161"/>
      <c r="G247" s="161"/>
      <c r="H247" s="161"/>
      <c r="I247" s="161"/>
      <c r="J247" s="161"/>
      <c r="M247" s="99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</row>
    <row r="248" ht="15.75" customHeight="1">
      <c r="A248" s="161"/>
      <c r="B248" s="161"/>
      <c r="E248" s="161"/>
      <c r="F248" s="161"/>
      <c r="G248" s="161"/>
      <c r="H248" s="161"/>
      <c r="I248" s="161"/>
      <c r="J248" s="161"/>
      <c r="M248" s="99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</row>
    <row r="249" ht="15.75" customHeight="1">
      <c r="A249" s="161"/>
      <c r="B249" s="161"/>
      <c r="E249" s="161"/>
      <c r="F249" s="161"/>
      <c r="G249" s="161"/>
      <c r="H249" s="161"/>
      <c r="I249" s="161"/>
      <c r="J249" s="161"/>
      <c r="M249" s="99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</row>
    <row r="250" ht="15.75" customHeight="1">
      <c r="A250" s="161"/>
      <c r="B250" s="161"/>
      <c r="E250" s="161"/>
      <c r="F250" s="161"/>
      <c r="G250" s="161"/>
      <c r="H250" s="161"/>
      <c r="I250" s="161"/>
      <c r="J250" s="161"/>
      <c r="M250" s="99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</row>
    <row r="251" ht="15.75" customHeight="1">
      <c r="A251" s="161"/>
      <c r="B251" s="161"/>
      <c r="E251" s="161"/>
      <c r="F251" s="161"/>
      <c r="G251" s="161"/>
      <c r="H251" s="161"/>
      <c r="I251" s="161"/>
      <c r="J251" s="161"/>
      <c r="M251" s="99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</row>
    <row r="252" ht="15.75" customHeight="1">
      <c r="A252" s="161"/>
      <c r="B252" s="161"/>
      <c r="E252" s="161"/>
      <c r="F252" s="161"/>
      <c r="G252" s="161"/>
      <c r="H252" s="161"/>
      <c r="I252" s="161"/>
      <c r="J252" s="161"/>
      <c r="M252" s="99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</row>
    <row r="253" ht="15.75" customHeight="1">
      <c r="A253" s="161"/>
      <c r="B253" s="161"/>
      <c r="E253" s="161"/>
      <c r="F253" s="161"/>
      <c r="G253" s="161"/>
      <c r="H253" s="161"/>
      <c r="I253" s="161"/>
      <c r="J253" s="161"/>
      <c r="M253" s="99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</row>
    <row r="254" ht="15.75" customHeight="1">
      <c r="A254" s="161"/>
      <c r="B254" s="161"/>
      <c r="E254" s="161"/>
      <c r="F254" s="161"/>
      <c r="G254" s="161"/>
      <c r="H254" s="161"/>
      <c r="I254" s="161"/>
      <c r="J254" s="161"/>
      <c r="M254" s="99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</row>
    <row r="255" ht="15.75" customHeight="1">
      <c r="A255" s="161"/>
      <c r="B255" s="161"/>
      <c r="E255" s="161"/>
      <c r="F255" s="161"/>
      <c r="G255" s="161"/>
      <c r="H255" s="161"/>
      <c r="I255" s="161"/>
      <c r="J255" s="161"/>
      <c r="M255" s="99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</row>
    <row r="256" ht="15.75" customHeight="1">
      <c r="A256" s="161"/>
      <c r="B256" s="161"/>
      <c r="E256" s="161"/>
      <c r="F256" s="161"/>
      <c r="G256" s="161"/>
      <c r="H256" s="161"/>
      <c r="I256" s="161"/>
      <c r="J256" s="161"/>
      <c r="M256" s="99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</row>
    <row r="257" ht="15.75" customHeight="1">
      <c r="A257" s="161"/>
      <c r="B257" s="161"/>
      <c r="E257" s="161"/>
      <c r="F257" s="161"/>
      <c r="G257" s="161"/>
      <c r="H257" s="161"/>
      <c r="I257" s="161"/>
      <c r="J257" s="161"/>
      <c r="M257" s="99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</row>
    <row r="258" ht="15.75" customHeight="1">
      <c r="A258" s="161"/>
      <c r="B258" s="161"/>
      <c r="E258" s="161"/>
      <c r="F258" s="161"/>
      <c r="G258" s="161"/>
      <c r="H258" s="161"/>
      <c r="I258" s="161"/>
      <c r="J258" s="161"/>
      <c r="M258" s="99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</row>
    <row r="259" ht="15.75" customHeight="1">
      <c r="A259" s="161"/>
      <c r="B259" s="161"/>
      <c r="E259" s="161"/>
      <c r="F259" s="161"/>
      <c r="G259" s="161"/>
      <c r="H259" s="161"/>
      <c r="I259" s="161"/>
      <c r="J259" s="161"/>
      <c r="M259" s="99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</row>
    <row r="260" ht="15.75" customHeight="1">
      <c r="A260" s="161"/>
      <c r="B260" s="161"/>
      <c r="E260" s="161"/>
      <c r="F260" s="161"/>
      <c r="G260" s="161"/>
      <c r="H260" s="161"/>
      <c r="I260" s="161"/>
      <c r="J260" s="161"/>
      <c r="M260" s="99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</row>
    <row r="261" ht="15.75" customHeight="1">
      <c r="A261" s="161"/>
      <c r="B261" s="161"/>
      <c r="E261" s="161"/>
      <c r="F261" s="161"/>
      <c r="G261" s="161"/>
      <c r="H261" s="161"/>
      <c r="I261" s="161"/>
      <c r="J261" s="161"/>
      <c r="M261" s="99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</row>
    <row r="262" ht="15.75" customHeight="1">
      <c r="A262" s="161"/>
      <c r="B262" s="161"/>
      <c r="E262" s="161"/>
      <c r="F262" s="161"/>
      <c r="G262" s="161"/>
      <c r="H262" s="161"/>
      <c r="I262" s="161"/>
      <c r="J262" s="161"/>
      <c r="M262" s="99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</row>
    <row r="263" ht="15.75" customHeight="1">
      <c r="A263" s="161"/>
      <c r="B263" s="161"/>
      <c r="E263" s="161"/>
      <c r="F263" s="161"/>
      <c r="G263" s="161"/>
      <c r="H263" s="161"/>
      <c r="I263" s="161"/>
      <c r="J263" s="161"/>
      <c r="M263" s="99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</row>
    <row r="264" ht="15.75" customHeight="1">
      <c r="A264" s="161"/>
      <c r="B264" s="161"/>
      <c r="E264" s="161"/>
      <c r="F264" s="161"/>
      <c r="G264" s="161"/>
      <c r="H264" s="161"/>
      <c r="I264" s="161"/>
      <c r="J264" s="161"/>
      <c r="M264" s="99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</row>
    <row r="265" ht="15.75" customHeight="1">
      <c r="A265" s="161"/>
      <c r="B265" s="161"/>
      <c r="E265" s="161"/>
      <c r="F265" s="161"/>
      <c r="G265" s="161"/>
      <c r="H265" s="161"/>
      <c r="I265" s="161"/>
      <c r="J265" s="161"/>
      <c r="M265" s="99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</row>
    <row r="266" ht="15.75" customHeight="1">
      <c r="A266" s="161"/>
      <c r="B266" s="161"/>
      <c r="E266" s="161"/>
      <c r="F266" s="161"/>
      <c r="G266" s="161"/>
      <c r="H266" s="161"/>
      <c r="I266" s="161"/>
      <c r="J266" s="161"/>
      <c r="M266" s="99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</row>
    <row r="267" ht="15.75" customHeight="1">
      <c r="A267" s="161"/>
      <c r="B267" s="161"/>
      <c r="E267" s="161"/>
      <c r="F267" s="161"/>
      <c r="G267" s="161"/>
      <c r="H267" s="161"/>
      <c r="I267" s="161"/>
      <c r="J267" s="161"/>
      <c r="M267" s="99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</row>
    <row r="268" ht="15.75" customHeight="1">
      <c r="A268" s="161"/>
      <c r="B268" s="161"/>
      <c r="E268" s="161"/>
      <c r="F268" s="161"/>
      <c r="G268" s="161"/>
      <c r="H268" s="161"/>
      <c r="I268" s="161"/>
      <c r="J268" s="161"/>
      <c r="M268" s="99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</row>
    <row r="269" ht="15.75" customHeight="1">
      <c r="A269" s="161"/>
      <c r="B269" s="161"/>
      <c r="E269" s="161"/>
      <c r="F269" s="161"/>
      <c r="G269" s="161"/>
      <c r="H269" s="161"/>
      <c r="I269" s="161"/>
      <c r="J269" s="161"/>
      <c r="M269" s="99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</row>
    <row r="270" ht="15.75" customHeight="1">
      <c r="A270" s="161"/>
      <c r="B270" s="161"/>
      <c r="E270" s="161"/>
      <c r="F270" s="161"/>
      <c r="G270" s="161"/>
      <c r="H270" s="161"/>
      <c r="I270" s="161"/>
      <c r="J270" s="161"/>
      <c r="M270" s="99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</row>
    <row r="271" ht="15.75" customHeight="1">
      <c r="A271" s="161"/>
      <c r="B271" s="161"/>
      <c r="E271" s="161"/>
      <c r="F271" s="161"/>
      <c r="G271" s="161"/>
      <c r="H271" s="161"/>
      <c r="I271" s="161"/>
      <c r="J271" s="161"/>
      <c r="M271" s="99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</row>
    <row r="272" ht="15.75" customHeight="1">
      <c r="A272" s="161"/>
      <c r="B272" s="161"/>
      <c r="E272" s="161"/>
      <c r="F272" s="161"/>
      <c r="G272" s="161"/>
      <c r="H272" s="161"/>
      <c r="I272" s="161"/>
      <c r="J272" s="161"/>
      <c r="M272" s="99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</row>
    <row r="273" ht="15.75" customHeight="1">
      <c r="A273" s="161"/>
      <c r="B273" s="161"/>
      <c r="E273" s="161"/>
      <c r="F273" s="161"/>
      <c r="G273" s="161"/>
      <c r="H273" s="161"/>
      <c r="I273" s="161"/>
      <c r="J273" s="161"/>
      <c r="M273" s="99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</row>
    <row r="274" ht="15.75" customHeight="1">
      <c r="A274" s="161"/>
      <c r="B274" s="161"/>
      <c r="E274" s="161"/>
      <c r="F274" s="161"/>
      <c r="G274" s="161"/>
      <c r="H274" s="161"/>
      <c r="I274" s="161"/>
      <c r="J274" s="161"/>
      <c r="M274" s="99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</row>
    <row r="275" ht="15.75" customHeight="1">
      <c r="A275" s="161"/>
      <c r="B275" s="161"/>
      <c r="E275" s="161"/>
      <c r="F275" s="161"/>
      <c r="G275" s="161"/>
      <c r="H275" s="161"/>
      <c r="I275" s="161"/>
      <c r="J275" s="161"/>
      <c r="M275" s="99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</row>
    <row r="276" ht="15.75" customHeight="1">
      <c r="A276" s="161"/>
      <c r="B276" s="161"/>
      <c r="E276" s="161"/>
      <c r="F276" s="161"/>
      <c r="G276" s="161"/>
      <c r="H276" s="161"/>
      <c r="I276" s="161"/>
      <c r="J276" s="161"/>
      <c r="M276" s="99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</row>
    <row r="277" ht="15.75" customHeight="1">
      <c r="A277" s="161"/>
      <c r="B277" s="161"/>
      <c r="E277" s="161"/>
      <c r="F277" s="161"/>
      <c r="G277" s="161"/>
      <c r="H277" s="161"/>
      <c r="I277" s="161"/>
      <c r="J277" s="161"/>
      <c r="M277" s="99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</row>
    <row r="278" ht="15.75" customHeight="1">
      <c r="A278" s="161"/>
      <c r="B278" s="161"/>
      <c r="E278" s="161"/>
      <c r="F278" s="161"/>
      <c r="G278" s="161"/>
      <c r="H278" s="161"/>
      <c r="I278" s="161"/>
      <c r="J278" s="161"/>
      <c r="M278" s="99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</row>
    <row r="279" ht="15.75" customHeight="1">
      <c r="A279" s="161"/>
      <c r="B279" s="161"/>
      <c r="E279" s="161"/>
      <c r="F279" s="161"/>
      <c r="G279" s="161"/>
      <c r="H279" s="161"/>
      <c r="I279" s="161"/>
      <c r="J279" s="161"/>
      <c r="M279" s="99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</row>
    <row r="280" ht="15.75" customHeight="1">
      <c r="A280" s="161"/>
      <c r="B280" s="161"/>
      <c r="E280" s="161"/>
      <c r="F280" s="161"/>
      <c r="G280" s="161"/>
      <c r="H280" s="161"/>
      <c r="I280" s="161"/>
      <c r="J280" s="161"/>
      <c r="M280" s="99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</row>
    <row r="281" ht="15.75" customHeight="1">
      <c r="A281" s="161"/>
      <c r="B281" s="161"/>
      <c r="E281" s="161"/>
      <c r="F281" s="161"/>
      <c r="G281" s="161"/>
      <c r="H281" s="161"/>
      <c r="I281" s="161"/>
      <c r="J281" s="161"/>
      <c r="M281" s="99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</row>
    <row r="282" ht="15.75" customHeight="1">
      <c r="A282" s="161"/>
      <c r="B282" s="161"/>
      <c r="E282" s="161"/>
      <c r="F282" s="161"/>
      <c r="G282" s="161"/>
      <c r="H282" s="161"/>
      <c r="I282" s="161"/>
      <c r="J282" s="161"/>
      <c r="M282" s="99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</row>
    <row r="283" ht="15.75" customHeight="1">
      <c r="A283" s="161"/>
      <c r="B283" s="161"/>
      <c r="E283" s="161"/>
      <c r="F283" s="161"/>
      <c r="G283" s="161"/>
      <c r="H283" s="161"/>
      <c r="I283" s="161"/>
      <c r="J283" s="161"/>
      <c r="M283" s="99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</row>
    <row r="284" ht="15.75" customHeight="1">
      <c r="A284" s="161"/>
      <c r="B284" s="161"/>
      <c r="E284" s="161"/>
      <c r="F284" s="161"/>
      <c r="G284" s="161"/>
      <c r="H284" s="161"/>
      <c r="I284" s="161"/>
      <c r="J284" s="161"/>
      <c r="M284" s="99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</row>
    <row r="285" ht="15.75" customHeight="1">
      <c r="A285" s="161"/>
      <c r="B285" s="161"/>
      <c r="E285" s="161"/>
      <c r="F285" s="161"/>
      <c r="G285" s="161"/>
      <c r="H285" s="161"/>
      <c r="I285" s="161"/>
      <c r="J285" s="161"/>
      <c r="M285" s="99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</row>
    <row r="286" ht="15.75" customHeight="1">
      <c r="A286" s="161"/>
      <c r="B286" s="161"/>
      <c r="E286" s="161"/>
      <c r="F286" s="161"/>
      <c r="G286" s="161"/>
      <c r="H286" s="161"/>
      <c r="I286" s="161"/>
      <c r="J286" s="161"/>
      <c r="M286" s="99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</row>
    <row r="287" ht="15.75" customHeight="1">
      <c r="A287" s="161"/>
      <c r="B287" s="161"/>
      <c r="E287" s="161"/>
      <c r="F287" s="161"/>
      <c r="G287" s="161"/>
      <c r="H287" s="161"/>
      <c r="I287" s="161"/>
      <c r="J287" s="161"/>
      <c r="M287" s="99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</row>
    <row r="288" ht="15.75" customHeight="1">
      <c r="A288" s="161"/>
      <c r="B288" s="161"/>
      <c r="E288" s="161"/>
      <c r="F288" s="161"/>
      <c r="G288" s="161"/>
      <c r="H288" s="161"/>
      <c r="I288" s="161"/>
      <c r="J288" s="161"/>
      <c r="M288" s="99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</row>
    <row r="289" ht="15.75" customHeight="1">
      <c r="A289" s="161"/>
      <c r="B289" s="161"/>
      <c r="E289" s="161"/>
      <c r="F289" s="161"/>
      <c r="G289" s="161"/>
      <c r="H289" s="161"/>
      <c r="I289" s="161"/>
      <c r="J289" s="161"/>
      <c r="M289" s="99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</row>
    <row r="290" ht="15.75" customHeight="1">
      <c r="A290" s="161"/>
      <c r="B290" s="161"/>
      <c r="E290" s="161"/>
      <c r="F290" s="161"/>
      <c r="G290" s="161"/>
      <c r="H290" s="161"/>
      <c r="I290" s="161"/>
      <c r="J290" s="161"/>
      <c r="M290" s="99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</row>
    <row r="291" ht="15.75" customHeight="1">
      <c r="A291" s="161"/>
      <c r="B291" s="161"/>
      <c r="E291" s="161"/>
      <c r="F291" s="161"/>
      <c r="G291" s="161"/>
      <c r="H291" s="161"/>
      <c r="I291" s="161"/>
      <c r="J291" s="161"/>
      <c r="M291" s="99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</row>
    <row r="292" ht="15.75" customHeight="1">
      <c r="A292" s="161"/>
      <c r="B292" s="161"/>
      <c r="E292" s="161"/>
      <c r="F292" s="161"/>
      <c r="G292" s="161"/>
      <c r="H292" s="161"/>
      <c r="I292" s="161"/>
      <c r="J292" s="161"/>
      <c r="M292" s="99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</row>
    <row r="293" ht="15.75" customHeight="1">
      <c r="A293" s="161"/>
      <c r="B293" s="161"/>
      <c r="E293" s="161"/>
      <c r="F293" s="161"/>
      <c r="G293" s="161"/>
      <c r="H293" s="161"/>
      <c r="I293" s="161"/>
      <c r="J293" s="161"/>
      <c r="M293" s="99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4"/>
  <legacyDrawing r:id="rId5"/>
  <tableParts count="1">
    <tablePart r:id="rId7"/>
  </tableParts>
</worksheet>
</file>